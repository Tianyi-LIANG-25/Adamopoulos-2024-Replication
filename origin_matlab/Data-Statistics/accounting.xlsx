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opbox\Distortions and Productivity in China\"/>
    </mc:Choice>
  </mc:AlternateContent>
  <xr:revisionPtr revIDLastSave="0" documentId="13_ncr:1_{05C0F493-6DE1-4326-96FC-E84A5B50FAF1}" xr6:coauthVersionLast="47" xr6:coauthVersionMax="47" xr10:uidLastSave="{00000000-0000-0000-0000-000000000000}"/>
  <bookViews>
    <workbookView xWindow="-108" yWindow="-108" windowWidth="30936" windowHeight="16776" xr2:uid="{8BA355C6-C15F-4908-BA85-C5FEAD2F96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5" i="1" l="1"/>
  <c r="U5" i="1"/>
  <c r="T6" i="1"/>
  <c r="U6" i="1"/>
  <c r="T7" i="1"/>
  <c r="U7" i="1"/>
  <c r="T8" i="1"/>
  <c r="U8" i="1"/>
  <c r="T9" i="1"/>
  <c r="U9" i="1"/>
  <c r="T10" i="1"/>
  <c r="U10" i="1"/>
  <c r="T11" i="1"/>
  <c r="U11" i="1"/>
  <c r="T12" i="1"/>
  <c r="U12" i="1"/>
  <c r="T13" i="1"/>
  <c r="U13" i="1"/>
  <c r="T14" i="1"/>
  <c r="U14" i="1"/>
  <c r="T15" i="1"/>
  <c r="U15" i="1"/>
  <c r="T16" i="1"/>
  <c r="U16" i="1"/>
  <c r="T17" i="1"/>
  <c r="U17" i="1"/>
  <c r="T18" i="1"/>
  <c r="U18" i="1"/>
  <c r="U4" i="1"/>
  <c r="T4" i="1"/>
  <c r="S14" i="1"/>
  <c r="S15" i="1"/>
  <c r="S16" i="1"/>
  <c r="S17" i="1"/>
  <c r="S18" i="1"/>
  <c r="S5" i="1"/>
  <c r="S6" i="1"/>
  <c r="S7" i="1"/>
  <c r="S8" i="1"/>
  <c r="S9" i="1"/>
  <c r="S10" i="1"/>
  <c r="S11" i="1"/>
  <c r="S12" i="1"/>
  <c r="S13" i="1"/>
  <c r="S4" i="1"/>
  <c r="AI5" i="1" l="1"/>
  <c r="AJ5" i="1"/>
  <c r="AI6" i="1"/>
  <c r="AJ6" i="1"/>
  <c r="AI7" i="1"/>
  <c r="AJ7" i="1"/>
  <c r="AI8" i="1"/>
  <c r="AJ8" i="1"/>
  <c r="AI9" i="1"/>
  <c r="AJ9" i="1"/>
  <c r="AI10" i="1"/>
  <c r="AJ10" i="1"/>
  <c r="AI11" i="1"/>
  <c r="AJ11" i="1"/>
  <c r="AI12" i="1"/>
  <c r="AJ12" i="1"/>
  <c r="AI13" i="1"/>
  <c r="AJ13" i="1"/>
  <c r="AI14" i="1"/>
  <c r="H14" i="1" s="1"/>
  <c r="AJ14" i="1"/>
  <c r="AI15" i="1"/>
  <c r="H15" i="1" s="1"/>
  <c r="AJ15" i="1"/>
  <c r="AI16" i="1"/>
  <c r="H16" i="1" s="1"/>
  <c r="AJ16" i="1"/>
  <c r="AI17" i="1"/>
  <c r="H17" i="1" s="1"/>
  <c r="AJ17" i="1"/>
  <c r="AI18" i="1"/>
  <c r="H18" i="1" s="1"/>
  <c r="AJ18" i="1"/>
  <c r="AJ4" i="1"/>
  <c r="AI4" i="1"/>
  <c r="H13" i="1"/>
  <c r="G13" i="1"/>
  <c r="F13" i="1"/>
  <c r="W13" i="1" s="1"/>
  <c r="H12" i="1"/>
  <c r="G12" i="1"/>
  <c r="F12" i="1"/>
  <c r="W12" i="1" s="1"/>
  <c r="H11" i="1"/>
  <c r="G11" i="1"/>
  <c r="F11" i="1"/>
  <c r="W11" i="1" s="1"/>
  <c r="H10" i="1"/>
  <c r="G10" i="1"/>
  <c r="F10" i="1"/>
  <c r="W10" i="1" s="1"/>
  <c r="H9" i="1"/>
  <c r="G9" i="1"/>
  <c r="F9" i="1"/>
  <c r="W9" i="1" s="1"/>
  <c r="H8" i="1"/>
  <c r="G8" i="1"/>
  <c r="F8" i="1"/>
  <c r="W8" i="1" s="1"/>
  <c r="H7" i="1"/>
  <c r="G7" i="1"/>
  <c r="F7" i="1"/>
  <c r="W7" i="1" s="1"/>
  <c r="H6" i="1"/>
  <c r="G6" i="1"/>
  <c r="F6" i="1"/>
  <c r="W6" i="1" s="1"/>
  <c r="H5" i="1"/>
  <c r="G5" i="1"/>
  <c r="F5" i="1"/>
  <c r="W5" i="1" s="1"/>
  <c r="H4" i="1"/>
  <c r="G4" i="1"/>
  <c r="F4" i="1"/>
  <c r="W4" i="1" s="1"/>
  <c r="W14" i="1" l="1"/>
  <c r="Y12" i="1"/>
  <c r="AC12" i="1" s="1"/>
  <c r="Z6" i="1"/>
  <c r="AD6" i="1" s="1"/>
  <c r="Z8" i="1"/>
  <c r="AD8" i="1" s="1"/>
  <c r="Z10" i="1"/>
  <c r="AD10" i="1" s="1"/>
  <c r="Z12" i="1"/>
  <c r="AD12" i="1" s="1"/>
  <c r="Y6" i="1"/>
  <c r="AC6" i="1" s="1"/>
  <c r="Y10" i="1"/>
  <c r="AC10" i="1" s="1"/>
  <c r="Y5" i="1"/>
  <c r="AC5" i="1" s="1"/>
  <c r="Y7" i="1"/>
  <c r="AC7" i="1" s="1"/>
  <c r="Y9" i="1"/>
  <c r="AC9" i="1" s="1"/>
  <c r="Y11" i="1"/>
  <c r="AC11" i="1" s="1"/>
  <c r="Y13" i="1"/>
  <c r="AC13" i="1" s="1"/>
  <c r="Y4" i="1"/>
  <c r="AC4" i="1" s="1"/>
  <c r="Y8" i="1"/>
  <c r="AC8" i="1" s="1"/>
  <c r="Z4" i="1"/>
  <c r="AD4" i="1" s="1"/>
  <c r="Z5" i="1"/>
  <c r="AD5" i="1" s="1"/>
  <c r="Z7" i="1"/>
  <c r="AD7" i="1" s="1"/>
  <c r="Z9" i="1"/>
  <c r="AD9" i="1" s="1"/>
  <c r="Z11" i="1"/>
  <c r="AD11" i="1" s="1"/>
  <c r="Z13" i="1"/>
  <c r="AD13" i="1" s="1"/>
  <c r="W15" i="1" l="1"/>
  <c r="F14" i="1"/>
  <c r="G14" i="1" s="1"/>
  <c r="Y14" i="1" s="1"/>
  <c r="AC14" i="1" s="1"/>
  <c r="Z14" i="1"/>
  <c r="AD14" i="1" s="1"/>
  <c r="Z15" i="1" l="1"/>
  <c r="AD15" i="1" s="1"/>
  <c r="W16" i="1"/>
  <c r="F15" i="1"/>
  <c r="G15" i="1" s="1"/>
  <c r="Y15" i="1" s="1"/>
  <c r="AC15" i="1" s="1"/>
  <c r="Z16" i="1" l="1"/>
  <c r="AD16" i="1" s="1"/>
  <c r="F16" i="1"/>
  <c r="G16" i="1" s="1"/>
  <c r="Y16" i="1" s="1"/>
  <c r="AC16" i="1" s="1"/>
  <c r="W17" i="1"/>
  <c r="Z17" i="1" l="1"/>
  <c r="AD17" i="1" s="1"/>
  <c r="W18" i="1"/>
  <c r="F17" i="1"/>
  <c r="G17" i="1" s="1"/>
  <c r="Y17" i="1" s="1"/>
  <c r="AC17" i="1" s="1"/>
  <c r="F18" i="1" l="1"/>
  <c r="G18" i="1" s="1"/>
  <c r="Y18" i="1" s="1"/>
  <c r="AC18" i="1" s="1"/>
  <c r="Z18" i="1"/>
  <c r="AD18" i="1" s="1"/>
</calcChain>
</file>

<file path=xl/sharedStrings.xml><?xml version="1.0" encoding="utf-8"?>
<sst xmlns="http://schemas.openxmlformats.org/spreadsheetml/2006/main" count="36" uniqueCount="20">
  <si>
    <t>Scaling factor</t>
  </si>
  <si>
    <t>Residual</t>
  </si>
  <si>
    <t>Levels</t>
  </si>
  <si>
    <t>Shares</t>
  </si>
  <si>
    <t>Agr</t>
  </si>
  <si>
    <t>Rural Nonagr</t>
  </si>
  <si>
    <t>Urban Nonagr</t>
  </si>
  <si>
    <t>Employment Shares from Yao and Zhu (2018)</t>
  </si>
  <si>
    <t>RCRE Employment Shares</t>
  </si>
  <si>
    <t xml:space="preserve">Note: Total population is normalized to unity. </t>
  </si>
  <si>
    <t>J</t>
  </si>
  <si>
    <t>Urban</t>
  </si>
  <si>
    <t>Rural</t>
  </si>
  <si>
    <t>NBS</t>
  </si>
  <si>
    <t>Ope</t>
  </si>
  <si>
    <t>A+R</t>
  </si>
  <si>
    <t xml:space="preserve">A+N </t>
  </si>
  <si>
    <t>PT R</t>
  </si>
  <si>
    <t>PT U</t>
  </si>
  <si>
    <t>RCRE 6-Occupation Employment Shares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</si>
</sst>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1" fillId="0" borderId="0" xfId="0" applyNumberFormat="1" applyFont="1"/>
    <xf numFmtId="164" fontId="1" fillId="0" borderId="0" xfId="0" applyNumberFormat="1" applyFont="1"/>
    <xf numFmtId="0" fontId="0" fillId="0" borderId="0" xfId="0" applyAlignment="1">
      <alignment horizontal="center"/>
    </xf>
    <xf numFmtId="164" fontId="3" fillId="0" borderId="0" xfId="0" applyNumberFormat="1" applyFont="1"/>
    <xf numFmtId="164" fontId="2" fillId="0" borderId="0" xfId="0" applyNumberFormat="1" applyFont="1"/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E07BF-D6CE-4EAD-9E1D-99C9D34929EA}">
  <dimension ref="A1:AJ22"/>
  <sheetViews>
    <sheetView tabSelected="1" workbookViewId="0">
      <selection activeCell="AC21" sqref="AC21"/>
    </sheetView>
  </sheetViews>
  <sheetFormatPr defaultRowHeight="14.4" x14ac:dyDescent="0.3"/>
  <sheetData>
    <row r="1" spans="1:36" x14ac:dyDescent="0.3">
      <c r="C1" s="7" t="s">
        <v>7</v>
      </c>
      <c r="D1" s="7"/>
      <c r="E1" s="7"/>
      <c r="F1" s="7"/>
      <c r="G1" s="7"/>
      <c r="H1" s="7"/>
      <c r="I1" s="3"/>
      <c r="J1" s="7" t="s">
        <v>19</v>
      </c>
      <c r="K1" s="7"/>
      <c r="L1" s="7"/>
      <c r="M1" s="7"/>
      <c r="N1" s="7"/>
      <c r="O1" s="7"/>
      <c r="P1" s="7"/>
      <c r="Q1" s="7"/>
      <c r="R1" s="3"/>
      <c r="S1" s="7" t="s">
        <v>8</v>
      </c>
      <c r="T1" s="7"/>
      <c r="U1" s="7"/>
      <c r="W1" t="s">
        <v>0</v>
      </c>
      <c r="Y1" t="s">
        <v>1</v>
      </c>
      <c r="AB1" t="s">
        <v>10</v>
      </c>
      <c r="AG1" s="7" t="s">
        <v>13</v>
      </c>
      <c r="AH1" s="7"/>
      <c r="AI1" s="7"/>
      <c r="AJ1" s="7"/>
    </row>
    <row r="2" spans="1:36" x14ac:dyDescent="0.3">
      <c r="C2" s="7" t="s">
        <v>2</v>
      </c>
      <c r="D2" s="7"/>
      <c r="E2" s="7"/>
      <c r="F2" s="7" t="s">
        <v>3</v>
      </c>
      <c r="G2" s="7"/>
      <c r="H2" s="7"/>
      <c r="I2" s="3"/>
      <c r="J2" s="3"/>
      <c r="K2" s="3"/>
      <c r="L2" s="3"/>
      <c r="M2" s="3"/>
      <c r="N2" s="3"/>
      <c r="O2" s="3"/>
      <c r="P2" s="3"/>
      <c r="Q2" s="3"/>
      <c r="R2" s="3"/>
      <c r="S2" s="7" t="s">
        <v>3</v>
      </c>
      <c r="T2" s="7"/>
      <c r="U2" s="7"/>
      <c r="AB2">
        <v>3</v>
      </c>
      <c r="AG2" s="7" t="s">
        <v>2</v>
      </c>
      <c r="AH2" s="7"/>
      <c r="AI2" s="7" t="s">
        <v>3</v>
      </c>
      <c r="AJ2" s="7"/>
    </row>
    <row r="3" spans="1:36" x14ac:dyDescent="0.3">
      <c r="C3" t="s">
        <v>4</v>
      </c>
      <c r="D3" t="s">
        <v>5</v>
      </c>
      <c r="E3" t="s">
        <v>6</v>
      </c>
      <c r="F3" t="s">
        <v>4</v>
      </c>
      <c r="G3" t="s">
        <v>5</v>
      </c>
      <c r="H3" t="s">
        <v>6</v>
      </c>
      <c r="J3" t="s">
        <v>14</v>
      </c>
      <c r="K3" t="s">
        <v>4</v>
      </c>
      <c r="L3" t="s">
        <v>5</v>
      </c>
      <c r="M3" t="s">
        <v>6</v>
      </c>
      <c r="N3" t="s">
        <v>15</v>
      </c>
      <c r="O3" t="s">
        <v>16</v>
      </c>
      <c r="P3" t="s">
        <v>17</v>
      </c>
      <c r="Q3" t="s">
        <v>18</v>
      </c>
      <c r="S3" t="s">
        <v>4</v>
      </c>
      <c r="T3" t="s">
        <v>5</v>
      </c>
      <c r="U3" t="s">
        <v>6</v>
      </c>
      <c r="Y3" t="s">
        <v>5</v>
      </c>
      <c r="Z3" t="s">
        <v>6</v>
      </c>
      <c r="AG3" t="s">
        <v>11</v>
      </c>
      <c r="AH3" t="s">
        <v>12</v>
      </c>
      <c r="AI3" t="s">
        <v>11</v>
      </c>
      <c r="AJ3" t="s">
        <v>12</v>
      </c>
    </row>
    <row r="4" spans="1:36" x14ac:dyDescent="0.3">
      <c r="A4">
        <v>2004</v>
      </c>
      <c r="C4" s="1">
        <v>29015.5942</v>
      </c>
      <c r="D4" s="1">
        <v>17955.4058</v>
      </c>
      <c r="E4" s="1">
        <v>27293</v>
      </c>
      <c r="F4" s="2">
        <f>C4/($C4+$D4+$E4)</f>
        <v>0.39070874447915543</v>
      </c>
      <c r="G4" s="2">
        <f t="shared" ref="G4:H13" si="0">D4/($C4+$D4+$E4)</f>
        <v>0.2417780593558117</v>
      </c>
      <c r="H4" s="2">
        <f t="shared" si="0"/>
        <v>0.36751319616503286</v>
      </c>
      <c r="I4" s="2"/>
      <c r="J4" s="6">
        <v>0.27552488446235657</v>
      </c>
      <c r="K4" s="6">
        <v>0.21519730985164642</v>
      </c>
      <c r="L4" s="6">
        <v>0.1478569507598877</v>
      </c>
      <c r="M4" s="6">
        <v>0.15445595979690552</v>
      </c>
      <c r="N4" s="6">
        <v>0.15896420180797577</v>
      </c>
      <c r="O4" s="6">
        <v>4.8000697046518326E-2</v>
      </c>
      <c r="P4" s="6">
        <v>0.38813826441764832</v>
      </c>
      <c r="Q4" s="6">
        <v>0.26278179883956909</v>
      </c>
      <c r="R4" s="2"/>
      <c r="S4" s="6">
        <f>J4+K4+N4*P4+O4*Q4</f>
        <v>0.56503599322372478</v>
      </c>
      <c r="T4" s="6">
        <f>L4+N4*(1-P4)</f>
        <v>0.24512106317357896</v>
      </c>
      <c r="U4" s="6">
        <f>M4+O4*(1-Q4)</f>
        <v>0.18984294732798657</v>
      </c>
      <c r="V4" s="6"/>
      <c r="W4" s="6">
        <f t="shared" ref="W4:W13" si="1">F4/S4</f>
        <v>0.69147585138785161</v>
      </c>
      <c r="X4" s="6"/>
      <c r="Y4" s="6">
        <f t="shared" ref="Y4:Y18" si="2">G4-T4*$W4</f>
        <v>7.228276350476584E-2</v>
      </c>
      <c r="Z4" s="6">
        <f t="shared" ref="Z4:Z18" si="3">H4-U4*$W4</f>
        <v>0.23624138253143429</v>
      </c>
      <c r="AA4" s="6"/>
      <c r="AB4" s="6"/>
      <c r="AC4" s="6">
        <f>$AB$2/$W4*Y4</f>
        <v>0.31360211651508046</v>
      </c>
      <c r="AD4" s="6">
        <f>$AB$2/$W4*Z4</f>
        <v>1.0249441772577197</v>
      </c>
      <c r="AG4">
        <v>27293</v>
      </c>
      <c r="AH4">
        <v>46971</v>
      </c>
      <c r="AI4">
        <f>AG4/($AG4+$AH4)</f>
        <v>0.36751319616503286</v>
      </c>
      <c r="AJ4">
        <f>AH4/($AG4+$AH4)</f>
        <v>0.63248680383496714</v>
      </c>
    </row>
    <row r="5" spans="1:36" x14ac:dyDescent="0.3">
      <c r="A5">
        <v>2005</v>
      </c>
      <c r="C5" s="1">
        <v>27497.537700000001</v>
      </c>
      <c r="D5" s="1">
        <v>18760.462299999999</v>
      </c>
      <c r="E5" s="1">
        <v>28389</v>
      </c>
      <c r="F5" s="2">
        <f t="shared" ref="F5:F13" si="4">C5/($C5+$D5+$E5)</f>
        <v>0.36836761959623293</v>
      </c>
      <c r="G5" s="2">
        <f t="shared" si="0"/>
        <v>0.25132238803970686</v>
      </c>
      <c r="H5" s="2">
        <f t="shared" si="0"/>
        <v>0.38030999236406016</v>
      </c>
      <c r="I5" s="2"/>
      <c r="J5" s="6">
        <v>0.27360516786575317</v>
      </c>
      <c r="K5" s="6">
        <v>0.21182605624198914</v>
      </c>
      <c r="L5" s="6">
        <v>0.1469600647687912</v>
      </c>
      <c r="M5" s="6">
        <v>0.16251955926418304</v>
      </c>
      <c r="N5" s="6">
        <v>0.15820211172103882</v>
      </c>
      <c r="O5" s="6">
        <v>4.6887058764696121E-2</v>
      </c>
      <c r="P5" s="6">
        <v>0.38339731097221375</v>
      </c>
      <c r="Q5" s="6">
        <v>0.26482310891151428</v>
      </c>
      <c r="R5" s="2"/>
      <c r="S5" s="6">
        <f t="shared" ref="S5:S18" si="5">J5+K5+N5*P5+O5*Q5</f>
        <v>0.55850226500149802</v>
      </c>
      <c r="T5" s="6">
        <f t="shared" ref="T5:T18" si="6">L5+N5*(1-P5)</f>
        <v>0.244507912265858</v>
      </c>
      <c r="U5" s="6">
        <f t="shared" ref="U5:U18" si="7">M5+O5*(1-Q5)</f>
        <v>0.19698984135909547</v>
      </c>
      <c r="V5" s="6"/>
      <c r="W5" s="6">
        <f t="shared" si="1"/>
        <v>0.6595633405269089</v>
      </c>
      <c r="X5" s="6"/>
      <c r="Y5" s="6">
        <f t="shared" si="2"/>
        <v>9.0053932640377199E-2</v>
      </c>
      <c r="Z5" s="6">
        <f t="shared" si="3"/>
        <v>0.25038271454738931</v>
      </c>
      <c r="AA5" s="6"/>
      <c r="AB5" s="6"/>
      <c r="AC5" s="6">
        <f t="shared" ref="AC5:AC13" si="8">$AB$2/$W5*Y5</f>
        <v>0.40960705563972977</v>
      </c>
      <c r="AD5" s="6">
        <f t="shared" ref="AD5:AD13" si="9">$AB$2/$W5*Z5</f>
        <v>1.1388567215426106</v>
      </c>
      <c r="AG5">
        <v>28389</v>
      </c>
      <c r="AH5">
        <v>46258</v>
      </c>
      <c r="AI5">
        <f t="shared" ref="AI5:AI18" si="10">AG5/($AG5+$AH5)</f>
        <v>0.38030999236406016</v>
      </c>
      <c r="AJ5">
        <f t="shared" ref="AJ5:AJ18" si="11">AH5/($AG5+$AH5)</f>
        <v>0.61969000763593984</v>
      </c>
    </row>
    <row r="6" spans="1:36" x14ac:dyDescent="0.3">
      <c r="A6">
        <v>2006</v>
      </c>
      <c r="C6" s="1">
        <v>25888.680069999995</v>
      </c>
      <c r="D6" s="1">
        <v>19459.319930000005</v>
      </c>
      <c r="E6" s="1">
        <v>29630</v>
      </c>
      <c r="F6" s="2">
        <f t="shared" si="4"/>
        <v>0.34528368414734983</v>
      </c>
      <c r="G6" s="2">
        <f t="shared" si="0"/>
        <v>0.25953372896049515</v>
      </c>
      <c r="H6" s="2">
        <f t="shared" si="0"/>
        <v>0.39518258689215502</v>
      </c>
      <c r="I6" s="2"/>
      <c r="J6" s="6">
        <v>0.26587328314781189</v>
      </c>
      <c r="K6" s="6">
        <v>0.20428693294525146</v>
      </c>
      <c r="L6" s="6">
        <v>0.14953865110874176</v>
      </c>
      <c r="M6" s="6">
        <v>0.18153724074363708</v>
      </c>
      <c r="N6" s="6">
        <v>0.15091940760612488</v>
      </c>
      <c r="O6" s="6">
        <v>4.7844476997852325E-2</v>
      </c>
      <c r="P6" s="6">
        <v>0.36885911226272583</v>
      </c>
      <c r="Q6" s="6">
        <v>0.2556895911693573</v>
      </c>
      <c r="R6" s="2"/>
      <c r="S6" s="6">
        <f t="shared" si="5"/>
        <v>0.53806154956916763</v>
      </c>
      <c r="T6" s="6">
        <f t="shared" si="6"/>
        <v>0.24479006000205494</v>
      </c>
      <c r="U6" s="6">
        <f t="shared" si="7"/>
        <v>0.21714838297819683</v>
      </c>
      <c r="V6" s="6"/>
      <c r="W6" s="6">
        <f t="shared" si="1"/>
        <v>0.64171781913021408</v>
      </c>
      <c r="X6" s="6"/>
      <c r="Y6" s="6">
        <f t="shared" si="2"/>
        <v>0.10244758551122221</v>
      </c>
      <c r="Z6" s="6">
        <f t="shared" si="3"/>
        <v>0.25583460013973403</v>
      </c>
      <c r="AA6" s="6"/>
      <c r="AB6" s="6"/>
      <c r="AC6" s="6">
        <f t="shared" si="8"/>
        <v>0.47893754446501074</v>
      </c>
      <c r="AD6" s="6">
        <f t="shared" si="9"/>
        <v>1.1960144748037052</v>
      </c>
      <c r="AG6">
        <v>29630</v>
      </c>
      <c r="AH6">
        <v>45348</v>
      </c>
      <c r="AI6">
        <f t="shared" si="10"/>
        <v>0.39518258689215502</v>
      </c>
      <c r="AJ6">
        <f t="shared" si="11"/>
        <v>0.60481741310784498</v>
      </c>
    </row>
    <row r="7" spans="1:36" x14ac:dyDescent="0.3">
      <c r="A7">
        <v>2007</v>
      </c>
      <c r="C7" s="1">
        <v>24419</v>
      </c>
      <c r="D7" s="1">
        <v>19949.000000000007</v>
      </c>
      <c r="E7" s="1">
        <v>30952.999999999993</v>
      </c>
      <c r="F7" s="2">
        <f t="shared" si="4"/>
        <v>0.32419909454202678</v>
      </c>
      <c r="G7" s="2">
        <f t="shared" si="0"/>
        <v>0.26485309541827656</v>
      </c>
      <c r="H7" s="2">
        <f t="shared" si="0"/>
        <v>0.41094781003969666</v>
      </c>
      <c r="I7" s="2"/>
      <c r="J7" s="6">
        <v>0.25412574410438538</v>
      </c>
      <c r="K7" s="6">
        <v>0.19387310743331909</v>
      </c>
      <c r="L7" s="6">
        <v>0.15026859939098358</v>
      </c>
      <c r="M7" s="6">
        <v>0.19757537543773651</v>
      </c>
      <c r="N7" s="6">
        <v>0.15440642833709717</v>
      </c>
      <c r="O7" s="6">
        <v>4.9750763922929764E-2</v>
      </c>
      <c r="P7" s="6">
        <v>0.35351657867431641</v>
      </c>
      <c r="Q7" s="6">
        <v>0.24313607811927795</v>
      </c>
      <c r="R7" s="2"/>
      <c r="S7" s="6">
        <f t="shared" si="5"/>
        <v>0.51468028943241528</v>
      </c>
      <c r="T7" s="6">
        <f t="shared" si="6"/>
        <v>0.25008979545702914</v>
      </c>
      <c r="U7" s="6">
        <f t="shared" si="7"/>
        <v>0.23522993373700707</v>
      </c>
      <c r="V7" s="6"/>
      <c r="W7" s="6">
        <f t="shared" si="1"/>
        <v>0.62990384749249007</v>
      </c>
      <c r="X7" s="6"/>
      <c r="Y7" s="6">
        <f t="shared" si="2"/>
        <v>0.10732057104128404</v>
      </c>
      <c r="Z7" s="6">
        <f t="shared" si="3"/>
        <v>0.26277556973335242</v>
      </c>
      <c r="AA7" s="6"/>
      <c r="AB7" s="6"/>
      <c r="AC7" s="6">
        <f t="shared" si="8"/>
        <v>0.51112834824792941</v>
      </c>
      <c r="AD7" s="6">
        <f t="shared" si="9"/>
        <v>1.2515032450400392</v>
      </c>
      <c r="AG7">
        <v>30953</v>
      </c>
      <c r="AH7">
        <v>44368</v>
      </c>
      <c r="AI7">
        <f t="shared" si="10"/>
        <v>0.41094781003969677</v>
      </c>
      <c r="AJ7">
        <f t="shared" si="11"/>
        <v>0.58905218996030329</v>
      </c>
    </row>
    <row r="8" spans="1:36" x14ac:dyDescent="0.3">
      <c r="A8">
        <v>2008</v>
      </c>
      <c r="C8" s="1">
        <v>23063.034500000002</v>
      </c>
      <c r="D8" s="1">
        <v>20397.965499999998</v>
      </c>
      <c r="E8" s="1">
        <v>32103</v>
      </c>
      <c r="F8" s="2">
        <f t="shared" si="4"/>
        <v>0.30521193293102539</v>
      </c>
      <c r="G8" s="2">
        <f t="shared" si="0"/>
        <v>0.26994290270499177</v>
      </c>
      <c r="H8" s="2">
        <f t="shared" si="0"/>
        <v>0.42484516436398284</v>
      </c>
      <c r="I8" s="2"/>
      <c r="J8" s="6">
        <v>0.24967597424983978</v>
      </c>
      <c r="K8" s="6">
        <v>0.20141392946243286</v>
      </c>
      <c r="L8" s="6">
        <v>0.15956167876720428</v>
      </c>
      <c r="M8" s="6">
        <v>0.19934016466140747</v>
      </c>
      <c r="N8" s="6">
        <v>0.14391422271728516</v>
      </c>
      <c r="O8" s="6">
        <v>4.6094026416540146E-2</v>
      </c>
      <c r="P8" s="6">
        <v>0.34796050190925598</v>
      </c>
      <c r="Q8" s="6">
        <v>0.22925907373428345</v>
      </c>
      <c r="R8" s="2"/>
      <c r="S8" s="6">
        <f t="shared" si="5"/>
        <v>0.51173384268179922</v>
      </c>
      <c r="T8" s="6">
        <f t="shared" si="6"/>
        <v>0.25339943631590245</v>
      </c>
      <c r="U8" s="6">
        <f t="shared" si="7"/>
        <v>0.23486671727700803</v>
      </c>
      <c r="V8" s="6"/>
      <c r="W8" s="6">
        <f t="shared" si="1"/>
        <v>0.5964271022833425</v>
      </c>
      <c r="X8" s="6"/>
      <c r="Y8" s="6">
        <f t="shared" si="2"/>
        <v>0.11880861118286568</v>
      </c>
      <c r="Z8" s="6">
        <f t="shared" si="3"/>
        <v>0.28476428875565585</v>
      </c>
      <c r="AA8" s="6"/>
      <c r="AB8" s="6"/>
      <c r="AC8" s="6">
        <f t="shared" si="8"/>
        <v>0.59760167199657377</v>
      </c>
      <c r="AD8" s="6">
        <f t="shared" si="9"/>
        <v>1.432350848907469</v>
      </c>
      <c r="AG8">
        <v>32103</v>
      </c>
      <c r="AH8">
        <v>43461</v>
      </c>
      <c r="AI8">
        <f t="shared" si="10"/>
        <v>0.42484516436398284</v>
      </c>
      <c r="AJ8">
        <f t="shared" si="11"/>
        <v>0.5751548356360171</v>
      </c>
    </row>
    <row r="9" spans="1:36" x14ac:dyDescent="0.3">
      <c r="A9">
        <v>2009</v>
      </c>
      <c r="C9" s="1">
        <v>21514.529299999998</v>
      </c>
      <c r="D9" s="1">
        <v>20991.470700000002</v>
      </c>
      <c r="E9" s="1">
        <v>33322</v>
      </c>
      <c r="F9" s="2">
        <f t="shared" si="4"/>
        <v>0.2837280331803555</v>
      </c>
      <c r="G9" s="2">
        <f t="shared" si="0"/>
        <v>0.2768300720050641</v>
      </c>
      <c r="H9" s="2">
        <f t="shared" si="0"/>
        <v>0.43944189481458035</v>
      </c>
      <c r="I9" s="2"/>
      <c r="J9" s="6">
        <v>0.23778510093688965</v>
      </c>
      <c r="K9" s="6">
        <v>0.20288194715976715</v>
      </c>
      <c r="L9" s="6">
        <v>0.17053154110908508</v>
      </c>
      <c r="M9" s="6">
        <v>0.20963355898857117</v>
      </c>
      <c r="N9" s="6">
        <v>0.13734611868858337</v>
      </c>
      <c r="O9" s="6">
        <v>4.1821740567684174E-2</v>
      </c>
      <c r="P9" s="6">
        <v>0.34269660711288452</v>
      </c>
      <c r="Q9" s="6">
        <v>0.20559900999069214</v>
      </c>
      <c r="R9" s="2"/>
      <c r="S9" s="6">
        <f t="shared" si="5"/>
        <v>0.4963336054281613</v>
      </c>
      <c r="T9" s="6">
        <f t="shared" si="6"/>
        <v>0.26080961092296739</v>
      </c>
      <c r="U9" s="6">
        <f t="shared" si="7"/>
        <v>0.24285679109945191</v>
      </c>
      <c r="V9" s="6"/>
      <c r="W9" s="6">
        <f t="shared" si="1"/>
        <v>0.57164783943170239</v>
      </c>
      <c r="X9" s="6"/>
      <c r="Y9" s="6">
        <f t="shared" si="2"/>
        <v>0.12773882141792686</v>
      </c>
      <c r="Z9" s="6">
        <f t="shared" si="3"/>
        <v>0.30061333489126241</v>
      </c>
      <c r="AA9" s="6"/>
      <c r="AB9" s="6"/>
      <c r="AC9" s="6">
        <f t="shared" si="8"/>
        <v>0.67037157812885495</v>
      </c>
      <c r="AD9" s="6">
        <f t="shared" si="9"/>
        <v>1.5776146474555768</v>
      </c>
      <c r="AG9">
        <v>33322</v>
      </c>
      <c r="AH9">
        <v>42506</v>
      </c>
      <c r="AI9">
        <f t="shared" si="10"/>
        <v>0.43944189481458035</v>
      </c>
      <c r="AJ9">
        <f t="shared" si="11"/>
        <v>0.5605581051854196</v>
      </c>
    </row>
    <row r="10" spans="1:36" x14ac:dyDescent="0.3">
      <c r="A10">
        <v>2010</v>
      </c>
      <c r="C10" s="1">
        <v>19638.705900000004</v>
      </c>
      <c r="D10" s="1">
        <v>21779.294099999988</v>
      </c>
      <c r="E10" s="1">
        <v>34687.000000000007</v>
      </c>
      <c r="F10" s="2">
        <f t="shared" si="4"/>
        <v>0.25804751199001386</v>
      </c>
      <c r="G10" s="2">
        <f t="shared" si="0"/>
        <v>0.28617428684054907</v>
      </c>
      <c r="H10" s="2">
        <f t="shared" si="0"/>
        <v>0.45577820116943707</v>
      </c>
      <c r="I10" s="2"/>
      <c r="J10" s="6">
        <v>0.23234458267688751</v>
      </c>
      <c r="K10" s="6">
        <v>0.19782625138759613</v>
      </c>
      <c r="L10" s="6">
        <v>0.17991295456886292</v>
      </c>
      <c r="M10" s="6">
        <v>0.21616725623607635</v>
      </c>
      <c r="N10" s="6">
        <v>0.13261377811431885</v>
      </c>
      <c r="O10" s="6">
        <v>4.1135180741548538E-2</v>
      </c>
      <c r="P10" s="6">
        <v>0.34196051955223083</v>
      </c>
      <c r="Q10" s="6">
        <v>0.2001308798789978</v>
      </c>
      <c r="R10" s="2"/>
      <c r="S10" s="6">
        <f t="shared" si="5"/>
        <v>0.48375193044402809</v>
      </c>
      <c r="T10" s="6">
        <f t="shared" si="6"/>
        <v>0.26717805621942503</v>
      </c>
      <c r="U10" s="6">
        <f t="shared" si="7"/>
        <v>0.24907001706183718</v>
      </c>
      <c r="V10" s="6"/>
      <c r="W10" s="6">
        <f t="shared" si="1"/>
        <v>0.53342942063953358</v>
      </c>
      <c r="X10" s="6"/>
      <c r="Y10" s="6">
        <f t="shared" si="2"/>
        <v>0.14365365110382444</v>
      </c>
      <c r="Z10" s="6">
        <f t="shared" si="3"/>
        <v>0.32291692626946256</v>
      </c>
      <c r="AA10" s="6"/>
      <c r="AB10" s="6"/>
      <c r="AC10" s="6">
        <f t="shared" si="8"/>
        <v>0.80790623208369372</v>
      </c>
      <c r="AD10" s="6">
        <f t="shared" si="9"/>
        <v>1.8160805184816076</v>
      </c>
      <c r="AG10">
        <v>34687</v>
      </c>
      <c r="AH10">
        <v>41418</v>
      </c>
      <c r="AI10">
        <f t="shared" si="10"/>
        <v>0.45577820116943696</v>
      </c>
      <c r="AJ10">
        <f t="shared" si="11"/>
        <v>0.54422179883056299</v>
      </c>
    </row>
    <row r="11" spans="1:36" x14ac:dyDescent="0.3">
      <c r="A11">
        <v>2011</v>
      </c>
      <c r="C11" s="1">
        <v>17715.267089555848</v>
      </c>
      <c r="D11" s="1">
        <v>22790.732910444152</v>
      </c>
      <c r="E11" s="1">
        <v>35914</v>
      </c>
      <c r="F11" s="2">
        <f t="shared" si="4"/>
        <v>0.23181453925092707</v>
      </c>
      <c r="G11" s="2">
        <f t="shared" si="0"/>
        <v>0.29822995172002292</v>
      </c>
      <c r="H11" s="2">
        <f t="shared" si="0"/>
        <v>0.46995550902904998</v>
      </c>
      <c r="I11" s="2"/>
      <c r="J11" s="6">
        <v>0.22932219505310059</v>
      </c>
      <c r="K11" s="6">
        <v>0.19330497086048126</v>
      </c>
      <c r="L11" s="6">
        <v>0.18591956794261932</v>
      </c>
      <c r="M11" s="6">
        <v>0.21669209003448486</v>
      </c>
      <c r="N11" s="6">
        <v>0.13459634780883789</v>
      </c>
      <c r="O11" s="6">
        <v>4.0164832025766373E-2</v>
      </c>
      <c r="P11" s="6">
        <v>0.32493230700492859</v>
      </c>
      <c r="Q11" s="6">
        <v>0.18778467178344727</v>
      </c>
      <c r="R11" s="2"/>
      <c r="S11" s="6">
        <f t="shared" si="5"/>
        <v>0.47390420752074114</v>
      </c>
      <c r="T11" s="6">
        <f t="shared" si="6"/>
        <v>0.27678121394349375</v>
      </c>
      <c r="U11" s="6">
        <f t="shared" si="7"/>
        <v>0.24931458226105541</v>
      </c>
      <c r="V11" s="6"/>
      <c r="W11" s="6">
        <f t="shared" si="1"/>
        <v>0.48915906542311371</v>
      </c>
      <c r="X11" s="6"/>
      <c r="Y11" s="6">
        <f t="shared" si="2"/>
        <v>0.16283991178074864</v>
      </c>
      <c r="Z11" s="6">
        <f t="shared" si="3"/>
        <v>0.34800102097387808</v>
      </c>
      <c r="AA11" s="6"/>
      <c r="AB11" s="6"/>
      <c r="AC11" s="6">
        <f t="shared" si="8"/>
        <v>0.9986930016715222</v>
      </c>
      <c r="AD11" s="6">
        <f t="shared" si="9"/>
        <v>2.134281334474688</v>
      </c>
      <c r="AG11">
        <v>35914</v>
      </c>
      <c r="AH11">
        <v>40506</v>
      </c>
      <c r="AI11">
        <f t="shared" si="10"/>
        <v>0.46995550902904998</v>
      </c>
      <c r="AJ11">
        <f t="shared" si="11"/>
        <v>0.53004449097094997</v>
      </c>
    </row>
    <row r="12" spans="1:36" x14ac:dyDescent="0.3">
      <c r="A12">
        <v>2012</v>
      </c>
      <c r="C12" s="1">
        <v>17168.368004028081</v>
      </c>
      <c r="D12" s="1">
        <v>22433.631995971919</v>
      </c>
      <c r="E12" s="1">
        <v>37102</v>
      </c>
      <c r="F12" s="2">
        <f t="shared" si="4"/>
        <v>0.22382624118726641</v>
      </c>
      <c r="G12" s="2">
        <f t="shared" si="0"/>
        <v>0.29247017099462763</v>
      </c>
      <c r="H12" s="2">
        <f t="shared" si="0"/>
        <v>0.48370358781810596</v>
      </c>
      <c r="I12" s="2"/>
      <c r="J12" s="6">
        <v>0.22787952423095703</v>
      </c>
      <c r="K12" s="6">
        <v>0.19149933755397797</v>
      </c>
      <c r="L12" s="6">
        <v>0.19166482985019684</v>
      </c>
      <c r="M12" s="6">
        <v>0.22021183371543884</v>
      </c>
      <c r="N12" s="6">
        <v>0.12979920208454132</v>
      </c>
      <c r="O12" s="6">
        <v>3.8945276290178299E-2</v>
      </c>
      <c r="P12" s="6">
        <v>0.31191623210906982</v>
      </c>
      <c r="Q12" s="6">
        <v>0.19981446862220764</v>
      </c>
      <c r="R12" s="2"/>
      <c r="S12" s="6">
        <f t="shared" si="5"/>
        <v>0.46764716951717589</v>
      </c>
      <c r="T12" s="6">
        <f t="shared" si="6"/>
        <v>0.28097755388976431</v>
      </c>
      <c r="U12" s="6">
        <f t="shared" si="7"/>
        <v>0.2513752803183501</v>
      </c>
      <c r="V12" s="6"/>
      <c r="W12" s="6">
        <f t="shared" si="1"/>
        <v>0.47862203767502037</v>
      </c>
      <c r="X12" s="6"/>
      <c r="Y12" s="6">
        <f t="shared" si="2"/>
        <v>0.15798812161096579</v>
      </c>
      <c r="Z12" s="6">
        <f t="shared" si="3"/>
        <v>0.36338983893100779</v>
      </c>
      <c r="AA12" s="6"/>
      <c r="AB12" s="6"/>
      <c r="AC12" s="6">
        <f t="shared" si="8"/>
        <v>0.99026857838651072</v>
      </c>
      <c r="AD12" s="6">
        <f t="shared" si="9"/>
        <v>2.2777252842110829</v>
      </c>
      <c r="AG12">
        <v>37102</v>
      </c>
      <c r="AH12">
        <v>39602</v>
      </c>
      <c r="AI12">
        <f t="shared" si="10"/>
        <v>0.48370358781810596</v>
      </c>
      <c r="AJ12">
        <f t="shared" si="11"/>
        <v>0.51629641218189404</v>
      </c>
    </row>
    <row r="13" spans="1:36" x14ac:dyDescent="0.3">
      <c r="A13">
        <v>2013</v>
      </c>
      <c r="C13" s="1">
        <v>16101.215342620679</v>
      </c>
      <c r="D13" s="1">
        <v>22635.784657379329</v>
      </c>
      <c r="E13" s="1">
        <v>38239.999999999993</v>
      </c>
      <c r="F13" s="2">
        <f t="shared" si="4"/>
        <v>0.20916917186459175</v>
      </c>
      <c r="G13" s="2">
        <f t="shared" si="0"/>
        <v>0.29405906514126723</v>
      </c>
      <c r="H13" s="2">
        <f t="shared" si="0"/>
        <v>0.496771762994141</v>
      </c>
      <c r="I13" s="2"/>
      <c r="J13" s="6">
        <v>0.21900650858879089</v>
      </c>
      <c r="K13" s="6">
        <v>0.18724437057971954</v>
      </c>
      <c r="L13" s="6">
        <v>0.20642577111721039</v>
      </c>
      <c r="M13" s="6">
        <v>0.22667907178401947</v>
      </c>
      <c r="N13" s="6">
        <v>0.12335336208343506</v>
      </c>
      <c r="O13" s="6">
        <v>3.7290908396244049E-2</v>
      </c>
      <c r="P13" s="6">
        <v>0.30312013626098633</v>
      </c>
      <c r="Q13" s="6">
        <v>0.1906227171421051</v>
      </c>
      <c r="R13" s="2"/>
      <c r="S13" s="6">
        <f t="shared" si="5"/>
        <v>0.45075026137468144</v>
      </c>
      <c r="T13" s="6">
        <f t="shared" si="6"/>
        <v>0.29238824527766383</v>
      </c>
      <c r="U13" s="6">
        <f t="shared" si="7"/>
        <v>0.25686148589707414</v>
      </c>
      <c r="V13" s="6"/>
      <c r="W13" s="6">
        <f t="shared" si="1"/>
        <v>0.46404670121915265</v>
      </c>
      <c r="X13" s="6"/>
      <c r="Y13" s="6">
        <f t="shared" si="2"/>
        <v>0.15837726444491085</v>
      </c>
      <c r="Z13" s="6">
        <f t="shared" si="3"/>
        <v>0.37757603779335386</v>
      </c>
      <c r="AA13" s="6"/>
      <c r="AB13" s="6"/>
      <c r="AC13" s="6">
        <f t="shared" si="8"/>
        <v>1.0238878804362943</v>
      </c>
      <c r="AD13" s="6">
        <f t="shared" si="9"/>
        <v>2.4409786997820175</v>
      </c>
      <c r="AG13">
        <v>38240</v>
      </c>
      <c r="AH13">
        <v>38737</v>
      </c>
      <c r="AI13">
        <f t="shared" si="10"/>
        <v>0.49677176299414111</v>
      </c>
      <c r="AJ13">
        <f t="shared" si="11"/>
        <v>0.50322823700585895</v>
      </c>
    </row>
    <row r="14" spans="1:36" x14ac:dyDescent="0.3">
      <c r="A14">
        <v>2014</v>
      </c>
      <c r="F14" s="4">
        <f>W14*S14</f>
        <v>0.18572540617723635</v>
      </c>
      <c r="G14" s="5">
        <f>1-F14-H14</f>
        <v>0.30542704097691953</v>
      </c>
      <c r="H14" s="2">
        <f>AI14</f>
        <v>0.50884755284584415</v>
      </c>
      <c r="I14" s="2"/>
      <c r="J14" s="6">
        <v>0.19991129636764526</v>
      </c>
      <c r="K14" s="6">
        <v>0.1720917671918869</v>
      </c>
      <c r="L14" s="6">
        <v>0.23376783728599548</v>
      </c>
      <c r="M14" s="6">
        <v>0.23761181533336639</v>
      </c>
      <c r="N14" s="6">
        <v>0.11716728657484055</v>
      </c>
      <c r="O14" s="6">
        <v>3.9450015872716904E-2</v>
      </c>
      <c r="P14" s="6">
        <v>0.28667441010475159</v>
      </c>
      <c r="Q14" s="6">
        <v>0.19306996464729309</v>
      </c>
      <c r="R14" s="2"/>
      <c r="S14" s="6">
        <f>J14+K14+N14*P14+O14*Q14</f>
        <v>0.41320853949182956</v>
      </c>
      <c r="T14" s="6">
        <f t="shared" si="6"/>
        <v>0.31734626109841924</v>
      </c>
      <c r="U14" s="6">
        <f t="shared" si="7"/>
        <v>0.26944521803620269</v>
      </c>
      <c r="V14" s="6"/>
      <c r="W14" s="5">
        <f>W13*2-W12</f>
        <v>0.44947136476328492</v>
      </c>
      <c r="X14" s="6"/>
      <c r="Y14" s="6">
        <f t="shared" si="2"/>
        <v>0.16278898389848728</v>
      </c>
      <c r="Z14" s="6">
        <f t="shared" si="3"/>
        <v>0.38773964296617125</v>
      </c>
      <c r="AA14" s="6"/>
      <c r="AB14" s="6"/>
      <c r="AC14" s="6">
        <f t="shared" ref="AC14:AC18" si="12">$AB$2/$W14*Y14</f>
        <v>1.0865362957052034</v>
      </c>
      <c r="AD14" s="6">
        <f t="shared" ref="AD14:AD18" si="13">$AB$2/$W14*Z14</f>
        <v>2.5879711592108334</v>
      </c>
      <c r="AG14">
        <v>39310</v>
      </c>
      <c r="AH14">
        <v>37943</v>
      </c>
      <c r="AI14">
        <f t="shared" si="10"/>
        <v>0.50884755284584415</v>
      </c>
      <c r="AJ14">
        <f t="shared" si="11"/>
        <v>0.49115244715415585</v>
      </c>
    </row>
    <row r="15" spans="1:36" x14ac:dyDescent="0.3">
      <c r="A15">
        <v>2015</v>
      </c>
      <c r="F15" s="4">
        <f t="shared" ref="F15:F18" si="14">W15*S15</f>
        <v>0.17169502692166744</v>
      </c>
      <c r="G15" s="5">
        <f t="shared" ref="G15:G18" si="15">1-F15-H15</f>
        <v>0.30655573807813885</v>
      </c>
      <c r="H15" s="2">
        <f t="shared" ref="H15:H18" si="16">AI15</f>
        <v>0.52174923500019366</v>
      </c>
      <c r="I15" s="2"/>
      <c r="J15" s="6">
        <v>0.19043977558612823</v>
      </c>
      <c r="K15" s="6">
        <v>0.16591095924377441</v>
      </c>
      <c r="L15" s="6">
        <v>0.24269326031208038</v>
      </c>
      <c r="M15" s="6">
        <v>0.24960392713546753</v>
      </c>
      <c r="N15" s="6">
        <v>0.11444960534572601</v>
      </c>
      <c r="O15" s="6">
        <v>3.6902487277984619E-2</v>
      </c>
      <c r="P15" s="6">
        <v>0.27616077661514282</v>
      </c>
      <c r="Q15" s="6">
        <v>0.18530856072902679</v>
      </c>
      <c r="R15" s="2"/>
      <c r="S15" s="6">
        <f t="shared" si="5"/>
        <v>0.3947955735302795</v>
      </c>
      <c r="T15" s="6">
        <f t="shared" si="6"/>
        <v>0.3255363737622341</v>
      </c>
      <c r="U15" s="6">
        <f t="shared" si="7"/>
        <v>0.2796680676086476</v>
      </c>
      <c r="V15" s="6"/>
      <c r="W15" s="5">
        <f t="shared" ref="W15:W18" si="17">W14*2-W13</f>
        <v>0.43489602830741719</v>
      </c>
      <c r="X15" s="6"/>
      <c r="Y15" s="6">
        <f t="shared" si="2"/>
        <v>0.16498126205934435</v>
      </c>
      <c r="Z15" s="6">
        <f t="shared" si="3"/>
        <v>0.40012270315278259</v>
      </c>
      <c r="AA15" s="6"/>
      <c r="AB15" s="6"/>
      <c r="AC15" s="6">
        <f t="shared" si="12"/>
        <v>1.1380738244594168</v>
      </c>
      <c r="AD15" s="6">
        <f t="shared" si="13"/>
        <v>2.7601266310250998</v>
      </c>
      <c r="AG15">
        <v>40410</v>
      </c>
      <c r="AH15">
        <v>37041</v>
      </c>
      <c r="AI15">
        <f t="shared" si="10"/>
        <v>0.52174923500019366</v>
      </c>
      <c r="AJ15">
        <f t="shared" si="11"/>
        <v>0.47825076499980634</v>
      </c>
    </row>
    <row r="16" spans="1:36" x14ac:dyDescent="0.3">
      <c r="A16">
        <v>2016</v>
      </c>
      <c r="F16" s="4">
        <f t="shared" si="14"/>
        <v>0.15865696361915058</v>
      </c>
      <c r="G16" s="5">
        <f t="shared" si="15"/>
        <v>0.30749769535021909</v>
      </c>
      <c r="H16" s="2">
        <f t="shared" si="16"/>
        <v>0.5338453410306303</v>
      </c>
      <c r="I16" s="2"/>
      <c r="J16" s="6">
        <v>0.18128249049186707</v>
      </c>
      <c r="K16" s="6">
        <v>0.16622921824455261</v>
      </c>
      <c r="L16" s="6">
        <v>0.26666152477264404</v>
      </c>
      <c r="M16" s="6">
        <v>0.25922495126724243</v>
      </c>
      <c r="N16" s="6">
        <v>9.5105759799480438E-2</v>
      </c>
      <c r="O16" s="6">
        <v>3.1496062874794006E-2</v>
      </c>
      <c r="P16" s="6">
        <v>0.25151285529136658</v>
      </c>
      <c r="Q16" s="6">
        <v>0.19159315526485443</v>
      </c>
      <c r="R16" s="2"/>
      <c r="S16" s="6">
        <f t="shared" si="5"/>
        <v>0.3774664600028439</v>
      </c>
      <c r="T16" s="6">
        <f t="shared" si="6"/>
        <v>0.33784696337030229</v>
      </c>
      <c r="U16" s="6">
        <f t="shared" si="7"/>
        <v>0.28468658407743441</v>
      </c>
      <c r="V16" s="6"/>
      <c r="W16" s="5">
        <f t="shared" si="17"/>
        <v>0.42032069185154947</v>
      </c>
      <c r="X16" s="6"/>
      <c r="Y16" s="6">
        <f t="shared" si="2"/>
        <v>0.16549362596646855</v>
      </c>
      <c r="Z16" s="6">
        <f t="shared" si="3"/>
        <v>0.41418567905034875</v>
      </c>
      <c r="AA16" s="6"/>
      <c r="AB16" s="6"/>
      <c r="AC16" s="6">
        <f t="shared" si="12"/>
        <v>1.1811954241709202</v>
      </c>
      <c r="AD16" s="6">
        <f t="shared" si="13"/>
        <v>2.9562119144729078</v>
      </c>
      <c r="AG16">
        <v>41428</v>
      </c>
      <c r="AH16">
        <v>36175</v>
      </c>
      <c r="AI16">
        <f t="shared" si="10"/>
        <v>0.5338453410306303</v>
      </c>
      <c r="AJ16">
        <f t="shared" si="11"/>
        <v>0.46615465896936975</v>
      </c>
    </row>
    <row r="17" spans="1:36" x14ac:dyDescent="0.3">
      <c r="A17">
        <v>2017</v>
      </c>
      <c r="F17" s="4">
        <f t="shared" si="14"/>
        <v>0.13970789982688911</v>
      </c>
      <c r="G17" s="5">
        <f t="shared" si="15"/>
        <v>0.31338329028130252</v>
      </c>
      <c r="H17" s="2">
        <f t="shared" si="16"/>
        <v>0.54690880989180835</v>
      </c>
      <c r="I17" s="2"/>
      <c r="J17" s="6">
        <v>0.16823793947696686</v>
      </c>
      <c r="K17" s="6">
        <v>0.1502244621515274</v>
      </c>
      <c r="L17" s="6">
        <v>0.286924809217453</v>
      </c>
      <c r="M17" s="6">
        <v>0.27940517663955688</v>
      </c>
      <c r="N17" s="6">
        <v>8.7261505424976349E-2</v>
      </c>
      <c r="O17" s="6">
        <v>2.7946127578616142E-2</v>
      </c>
      <c r="P17" s="6">
        <v>0.23836922645568848</v>
      </c>
      <c r="Q17" s="6">
        <v>0.18110665678977966</v>
      </c>
      <c r="R17" s="2"/>
      <c r="S17" s="6">
        <f t="shared" si="5"/>
        <v>0.34432408891198857</v>
      </c>
      <c r="T17" s="6">
        <f t="shared" si="6"/>
        <v>0.35338585709491888</v>
      </c>
      <c r="U17" s="6">
        <f t="shared" si="7"/>
        <v>0.3022900744821892</v>
      </c>
      <c r="V17" s="6"/>
      <c r="W17" s="5">
        <f t="shared" si="17"/>
        <v>0.40574535539568174</v>
      </c>
      <c r="X17" s="6"/>
      <c r="Y17" s="6">
        <f t="shared" si="2"/>
        <v>0.16999862010251707</v>
      </c>
      <c r="Z17" s="6">
        <f t="shared" si="3"/>
        <v>0.42425601618844538</v>
      </c>
      <c r="AA17" s="6"/>
      <c r="AB17" s="6"/>
      <c r="AC17" s="6">
        <f t="shared" si="12"/>
        <v>1.2569357936585734</v>
      </c>
      <c r="AD17" s="6">
        <f t="shared" si="13"/>
        <v>3.1368641233715082</v>
      </c>
      <c r="AG17">
        <v>42462</v>
      </c>
      <c r="AH17">
        <v>35178</v>
      </c>
      <c r="AI17">
        <f t="shared" si="10"/>
        <v>0.54690880989180835</v>
      </c>
      <c r="AJ17">
        <f t="shared" si="11"/>
        <v>0.45309119010819165</v>
      </c>
    </row>
    <row r="18" spans="1:36" x14ac:dyDescent="0.3">
      <c r="A18">
        <v>2018</v>
      </c>
      <c r="F18" s="4">
        <f t="shared" si="14"/>
        <v>0.1372344271512787</v>
      </c>
      <c r="G18" s="5">
        <f t="shared" si="15"/>
        <v>0.30314141385096405</v>
      </c>
      <c r="H18" s="2">
        <f t="shared" si="16"/>
        <v>0.5596241589977573</v>
      </c>
      <c r="I18" s="2"/>
      <c r="J18" s="6">
        <v>0.16723521053791046</v>
      </c>
      <c r="K18" s="6">
        <v>0.15468165278434753</v>
      </c>
      <c r="L18" s="6">
        <v>0.29588189721107483</v>
      </c>
      <c r="M18" s="6">
        <v>0.26212373375892639</v>
      </c>
      <c r="N18" s="6">
        <v>9.0440191328525543E-2</v>
      </c>
      <c r="O18" s="6">
        <v>2.9637310653924942E-2</v>
      </c>
      <c r="P18" s="6">
        <v>0.25812891125679016</v>
      </c>
      <c r="Q18" s="6">
        <v>0.18788972496986389</v>
      </c>
      <c r="R18" s="2"/>
      <c r="S18" s="6">
        <f t="shared" si="5"/>
        <v>0.35083063759135846</v>
      </c>
      <c r="T18" s="6">
        <f t="shared" si="6"/>
        <v>0.36297686041811228</v>
      </c>
      <c r="U18" s="6">
        <f t="shared" si="7"/>
        <v>0.28619249826523896</v>
      </c>
      <c r="V18" s="6"/>
      <c r="W18" s="5">
        <f t="shared" si="17"/>
        <v>0.39117001893981401</v>
      </c>
      <c r="X18" s="6"/>
      <c r="Y18" s="6">
        <f t="shared" si="2"/>
        <v>0.16115574848649683</v>
      </c>
      <c r="Z18" s="6">
        <f t="shared" si="3"/>
        <v>0.44767423403091111</v>
      </c>
      <c r="AA18" s="6"/>
      <c r="AB18" s="6"/>
      <c r="AC18" s="6">
        <f t="shared" si="12"/>
        <v>1.235951688654026</v>
      </c>
      <c r="AD18" s="6">
        <f t="shared" si="13"/>
        <v>3.4333477441157694</v>
      </c>
      <c r="AG18">
        <v>43419</v>
      </c>
      <c r="AH18">
        <v>34167</v>
      </c>
      <c r="AI18">
        <f t="shared" si="10"/>
        <v>0.5596241589977573</v>
      </c>
      <c r="AJ18">
        <f t="shared" si="11"/>
        <v>0.4403758410022427</v>
      </c>
    </row>
    <row r="19" spans="1:36" x14ac:dyDescent="0.3">
      <c r="A19">
        <v>2019</v>
      </c>
      <c r="F19" s="4"/>
      <c r="G19" s="5"/>
      <c r="H19" s="2"/>
      <c r="I19" s="2"/>
      <c r="J19" s="6"/>
      <c r="K19" s="6"/>
      <c r="L19" s="6"/>
      <c r="M19" s="6"/>
      <c r="N19" s="6"/>
      <c r="O19" s="6"/>
      <c r="P19" s="6"/>
      <c r="Q19" s="6"/>
      <c r="R19" s="2"/>
      <c r="S19" s="6"/>
      <c r="T19" s="6"/>
      <c r="U19" s="6"/>
      <c r="V19" s="6"/>
      <c r="W19" s="5"/>
      <c r="X19" s="6"/>
      <c r="Y19" s="6"/>
      <c r="Z19" s="6"/>
      <c r="AA19" s="6"/>
      <c r="AB19" s="6"/>
      <c r="AC19" s="6"/>
      <c r="AD19" s="6"/>
    </row>
    <row r="20" spans="1:36" x14ac:dyDescent="0.3">
      <c r="A20">
        <v>2020</v>
      </c>
    </row>
    <row r="22" spans="1:36" x14ac:dyDescent="0.3">
      <c r="A22" t="s">
        <v>9</v>
      </c>
    </row>
  </sheetData>
  <mergeCells count="9">
    <mergeCell ref="AG1:AJ1"/>
    <mergeCell ref="AG2:AH2"/>
    <mergeCell ref="AI2:AJ2"/>
    <mergeCell ref="C1:H1"/>
    <mergeCell ref="S1:U1"/>
    <mergeCell ref="C2:E2"/>
    <mergeCell ref="F2:H2"/>
    <mergeCell ref="S2:U2"/>
    <mergeCell ref="J1:Q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Chaoran Chen</dc:creator>
  <cp:lastModifiedBy>Chaoran Chen</cp:lastModifiedBy>
  <dcterms:created xsi:type="dcterms:W3CDTF">2021-07-26T17:47:18Z</dcterms:created>
  <dcterms:modified xsi:type="dcterms:W3CDTF">2023-08-25T14:11:55Z</dcterms:modified>
</cp:coreProperties>
</file>