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ropbox\Distortions and Productivity in China\Replication-Files\Data-Statistics\"/>
    </mc:Choice>
  </mc:AlternateContent>
  <xr:revisionPtr revIDLastSave="0" documentId="13_ncr:1_{3EEF70C0-CF02-4EE1-BACB-00A0F50F5A3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Employment Share" sheetId="1" r:id="rId1"/>
    <sheet name="Old Share by Employment" sheetId="6" r:id="rId2"/>
    <sheet name="Employment Old" sheetId="8" r:id="rId3"/>
    <sheet name="Employment Young" sheetId="9" r:id="rId4"/>
    <sheet name="Income Moments" sheetId="2" r:id="rId5"/>
    <sheet name="Income Moments YO" sheetId="5" r:id="rId6"/>
    <sheet name="Agr Moments Raw" sheetId="3" r:id="rId7"/>
    <sheet name="Agr Moments Permanent" sheetId="14" r:id="rId8"/>
    <sheet name="Agr Moments Other" sheetId="15" r:id="rId9"/>
    <sheet name="Part-time LS" sheetId="12" r:id="rId10"/>
    <sheet name="Agr Moments Balanced" sheetId="16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6" i="15" l="1"/>
  <c r="AB27" i="15"/>
  <c r="AB28" i="15"/>
  <c r="AB29" i="15"/>
  <c r="AB30" i="15"/>
  <c r="AB31" i="15"/>
  <c r="AB32" i="15"/>
  <c r="AB33" i="15"/>
  <c r="AB34" i="15"/>
  <c r="AB35" i="15"/>
  <c r="AB36" i="15"/>
  <c r="AB37" i="15"/>
  <c r="AB38" i="15"/>
  <c r="F38" i="15"/>
  <c r="F39" i="15"/>
  <c r="W17" i="6"/>
  <c r="X17" i="6"/>
  <c r="W18" i="6"/>
  <c r="X18" i="6"/>
  <c r="F37" i="15"/>
  <c r="F36" i="15"/>
  <c r="F35" i="15"/>
  <c r="F34" i="15"/>
  <c r="F33" i="15"/>
  <c r="F32" i="15"/>
  <c r="F31" i="15"/>
  <c r="F30" i="15"/>
  <c r="F29" i="15"/>
  <c r="AB25" i="15"/>
  <c r="F28" i="15"/>
  <c r="F27" i="15"/>
  <c r="F26" i="15"/>
  <c r="F25" i="15"/>
  <c r="X16" i="6"/>
  <c r="W16" i="6"/>
  <c r="X15" i="6"/>
  <c r="W15" i="6"/>
  <c r="X14" i="6"/>
  <c r="W14" i="6"/>
  <c r="X13" i="6"/>
  <c r="W13" i="6"/>
  <c r="X12" i="6"/>
  <c r="W12" i="6"/>
  <c r="X11" i="6"/>
  <c r="W11" i="6"/>
  <c r="X10" i="6"/>
  <c r="W10" i="6"/>
  <c r="X9" i="6"/>
  <c r="W9" i="6"/>
  <c r="X8" i="6"/>
  <c r="W8" i="6"/>
  <c r="X7" i="6"/>
  <c r="W7" i="6"/>
  <c r="X6" i="6"/>
  <c r="W6" i="6"/>
  <c r="X5" i="6"/>
  <c r="W5" i="6"/>
  <c r="X4" i="6"/>
  <c r="W4" i="6"/>
</calcChain>
</file>

<file path=xl/sharedStrings.xml><?xml version="1.0" encoding="utf-8"?>
<sst xmlns="http://schemas.openxmlformats.org/spreadsheetml/2006/main" count="225" uniqueCount="94">
  <si>
    <t>Rural-Urban</t>
  </si>
  <si>
    <t>Young</t>
  </si>
  <si>
    <t>Old</t>
  </si>
  <si>
    <t>YO Diff</t>
  </si>
  <si>
    <t>Urban</t>
  </si>
  <si>
    <t>Rural</t>
  </si>
  <si>
    <t>Rural-Agr</t>
  </si>
  <si>
    <t>Rural-Farming</t>
  </si>
  <si>
    <t>Farming</t>
  </si>
  <si>
    <t>Rural Nonagr</t>
  </si>
  <si>
    <t>Urban Nonagr</t>
  </si>
  <si>
    <t>Disp</t>
  </si>
  <si>
    <t>Corr</t>
  </si>
  <si>
    <t>Spearman</t>
  </si>
  <si>
    <t>Nonagr</t>
  </si>
  <si>
    <t>U-R</t>
  </si>
  <si>
    <t>R-A</t>
  </si>
  <si>
    <t>R-F</t>
  </si>
  <si>
    <t>Wage Differentials</t>
  </si>
  <si>
    <t>Farming-Rural</t>
  </si>
  <si>
    <t>Ope</t>
  </si>
  <si>
    <t>Agr</t>
  </si>
  <si>
    <t>A+R</t>
  </si>
  <si>
    <t>A+N</t>
  </si>
  <si>
    <t>Some Rural</t>
  </si>
  <si>
    <t>Some Urban</t>
  </si>
  <si>
    <t>Ope+Agr</t>
  </si>
  <si>
    <t>Pop</t>
  </si>
  <si>
    <t>Farming-Nonagr</t>
  </si>
  <si>
    <t>LS Part-Time</t>
  </si>
  <si>
    <t>Urban nonagr</t>
  </si>
  <si>
    <t>Rural nonagr</t>
  </si>
  <si>
    <t>Operator</t>
  </si>
  <si>
    <t>Employment Share</t>
  </si>
  <si>
    <t>A + R</t>
  </si>
  <si>
    <t>A + U</t>
  </si>
  <si>
    <t>Wage-Diff: W-WO Operator</t>
  </si>
  <si>
    <t>Median</t>
  </si>
  <si>
    <t>Mean</t>
  </si>
  <si>
    <t>Disp TFPR</t>
  </si>
  <si>
    <t>Disp TFPQ</t>
  </si>
  <si>
    <t>Linear Corr</t>
  </si>
  <si>
    <t>Rank Corr</t>
  </si>
  <si>
    <t>Both</t>
  </si>
  <si>
    <t>Corr LS Wage, PT</t>
  </si>
  <si>
    <t>0.10-0.20</t>
  </si>
  <si>
    <t>0.20-0.35</t>
  </si>
  <si>
    <t>Rank corr</t>
  </si>
  <si>
    <t>s.e.</t>
  </si>
  <si>
    <t>Disp Land</t>
  </si>
  <si>
    <t>TFPQ Vs. TFPR</t>
  </si>
  <si>
    <t>Raw TFPQ and TFPR (Entire Sample)</t>
  </si>
  <si>
    <t>TFPQ Vs. Land</t>
  </si>
  <si>
    <t>Raw TFPQ and TFPR (Top Sample)</t>
  </si>
  <si>
    <t>Raw TFPQ and TFPR (Rental Sample)</t>
  </si>
  <si>
    <t>Fraction of HH</t>
  </si>
  <si>
    <t>Operating Farms</t>
  </si>
  <si>
    <t>Farm Size Distribution</t>
  </si>
  <si>
    <t>AFS</t>
  </si>
  <si>
    <t>25p</t>
  </si>
  <si>
    <t>50p</t>
  </si>
  <si>
    <t>75p</t>
  </si>
  <si>
    <t>s.d.</t>
  </si>
  <si>
    <t>Sideline Agr</t>
  </si>
  <si>
    <t xml:space="preserve">Fraction of </t>
  </si>
  <si>
    <t>HH Labor</t>
  </si>
  <si>
    <t>Ave Labor Days</t>
  </si>
  <si>
    <t>Intensive 1</t>
  </si>
  <si>
    <t>Intensive 2</t>
  </si>
  <si>
    <t>Among Households with Operators</t>
  </si>
  <si>
    <t>Rent in HH</t>
  </si>
  <si>
    <t>Rent out HH</t>
  </si>
  <si>
    <t>Inactive HH</t>
  </si>
  <si>
    <t>Rent in land</t>
  </si>
  <si>
    <t>Rent out land</t>
  </si>
  <si>
    <t>Among All Households</t>
  </si>
  <si>
    <t>Fallow HH</t>
  </si>
  <si>
    <t>Fallow land</t>
  </si>
  <si>
    <t>TFPQ Vs Rentals</t>
  </si>
  <si>
    <t>Land under no operator</t>
  </si>
  <si>
    <t>Extensive 2</t>
  </si>
  <si>
    <t>Extensive 1</t>
  </si>
  <si>
    <t>Rent In Size</t>
  </si>
  <si>
    <t>N-A</t>
  </si>
  <si>
    <t>N-F</t>
  </si>
  <si>
    <t>Some Agr</t>
  </si>
  <si>
    <t>Part-time</t>
  </si>
  <si>
    <t>Fractiom of HH</t>
  </si>
  <si>
    <t>Balanced Panel</t>
  </si>
  <si>
    <t>Operator and Rentals</t>
  </si>
  <si>
    <t>Farming-Nonagr: Switchers</t>
  </si>
  <si>
    <t>Permanent TFPQ and TFPR (Entire Sample)</t>
  </si>
  <si>
    <t>Permanent TFPQ and TFPR (Top Sample)</t>
  </si>
  <si>
    <t>Permanent TFPQ and TFPR (Rental Sample)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</si>
</sst>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"/>
  </numFmts>
  <fonts count="7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sz val="11"/>
      <color rgb="FF00610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5">
    <xf numFmtId="0" fontId="0" fillId="0" borderId="0"/>
    <xf numFmtId="0" fontId="3" fillId="2" borderId="0" applyNumberFormat="0" applyBorder="0" applyAlignment="0" applyProtection="0"/>
    <xf numFmtId="0" fontId="1" fillId="0" borderId="7"/>
    <xf numFmtId="0" fontId="5" fillId="3" borderId="0" applyNumberFormat="0" applyBorder="0" applyAlignment="0" applyProtection="0"/>
    <xf numFmtId="0" fontId="1" fillId="0" borderId="7"/>
  </cellStyleXfs>
  <cellXfs count="41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/>
    <xf numFmtId="165" fontId="2" fillId="0" borderId="2" xfId="0" applyNumberFormat="1" applyFont="1" applyBorder="1"/>
    <xf numFmtId="0" fontId="2" fillId="0" borderId="0" xfId="0" applyFont="1"/>
    <xf numFmtId="165" fontId="0" fillId="0" borderId="3" xfId="0" applyNumberFormat="1" applyBorder="1"/>
    <xf numFmtId="165" fontId="2" fillId="0" borderId="3" xfId="0" applyNumberFormat="1" applyFont="1" applyBorder="1"/>
    <xf numFmtId="165" fontId="0" fillId="0" borderId="0" xfId="0" applyNumberFormat="1"/>
    <xf numFmtId="1" fontId="0" fillId="0" borderId="7" xfId="0" applyNumberFormat="1" applyBorder="1"/>
    <xf numFmtId="165" fontId="3" fillId="2" borderId="7" xfId="1" applyNumberFormat="1" applyBorder="1"/>
    <xf numFmtId="165" fontId="3" fillId="2" borderId="0" xfId="1" applyNumberFormat="1"/>
    <xf numFmtId="165" fontId="3" fillId="2" borderId="2" xfId="1" applyNumberFormat="1" applyBorder="1"/>
    <xf numFmtId="165" fontId="4" fillId="2" borderId="7" xfId="1" applyNumberFormat="1" applyFont="1" applyBorder="1"/>
    <xf numFmtId="165" fontId="4" fillId="2" borderId="0" xfId="1" applyNumberFormat="1" applyFont="1"/>
    <xf numFmtId="165" fontId="4" fillId="2" borderId="2" xfId="1" applyNumberFormat="1" applyFont="1" applyBorder="1"/>
    <xf numFmtId="0" fontId="3" fillId="2" borderId="0" xfId="1"/>
    <xf numFmtId="165" fontId="3" fillId="2" borderId="3" xfId="1" applyNumberFormat="1" applyBorder="1"/>
    <xf numFmtId="0" fontId="4" fillId="2" borderId="0" xfId="1" applyFont="1"/>
    <xf numFmtId="165" fontId="4" fillId="2" borderId="3" xfId="1" applyNumberFormat="1" applyFont="1" applyBorder="1"/>
    <xf numFmtId="0" fontId="0" fillId="0" borderId="7" xfId="0" applyBorder="1"/>
    <xf numFmtId="165" fontId="5" fillId="3" borderId="0" xfId="3" applyNumberFormat="1"/>
    <xf numFmtId="0" fontId="5" fillId="3" borderId="0" xfId="3"/>
    <xf numFmtId="165" fontId="5" fillId="3" borderId="7" xfId="3" applyNumberFormat="1" applyBorder="1"/>
    <xf numFmtId="165" fontId="5" fillId="3" borderId="3" xfId="3" applyNumberFormat="1" applyBorder="1"/>
    <xf numFmtId="165" fontId="5" fillId="3" borderId="4" xfId="3" applyNumberFormat="1" applyBorder="1"/>
    <xf numFmtId="165" fontId="5" fillId="3" borderId="2" xfId="3" applyNumberFormat="1" applyBorder="1"/>
    <xf numFmtId="165" fontId="5" fillId="3" borderId="5" xfId="3" applyNumberFormat="1" applyBorder="1"/>
    <xf numFmtId="165" fontId="5" fillId="3" borderId="6" xfId="3" applyNumberFormat="1" applyBorder="1"/>
    <xf numFmtId="1" fontId="5" fillId="3" borderId="7" xfId="3" applyNumberFormat="1" applyBorder="1"/>
    <xf numFmtId="1" fontId="4" fillId="2" borderId="7" xfId="1" applyNumberFormat="1" applyFont="1" applyBorder="1"/>
    <xf numFmtId="1" fontId="3" fillId="2" borderId="7" xfId="1" applyNumberFormat="1" applyBorder="1"/>
    <xf numFmtId="165" fontId="5" fillId="3" borderId="1" xfId="3" applyNumberFormat="1" applyBorder="1"/>
    <xf numFmtId="165" fontId="6" fillId="3" borderId="0" xfId="3" applyNumberFormat="1" applyFont="1"/>
    <xf numFmtId="165" fontId="6" fillId="3" borderId="7" xfId="3" applyNumberFormat="1" applyFont="1" applyBorder="1"/>
    <xf numFmtId="1" fontId="6" fillId="3" borderId="7" xfId="3" applyNumberFormat="1" applyFont="1" applyBorder="1"/>
    <xf numFmtId="0" fontId="6" fillId="3" borderId="0" xfId="3" applyFont="1"/>
    <xf numFmtId="166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" fontId="1" fillId="0" borderId="0" xfId="0" applyNumberFormat="1" applyFont="1" applyAlignment="1">
      <alignment horizontal="center"/>
    </xf>
  </cellXfs>
  <cellStyles count="5">
    <cellStyle name="Good" xfId="1" builtinId="26"/>
    <cellStyle name="Neutral" xfId="3" builtinId="28"/>
    <cellStyle name="Normal" xfId="0" builtinId="0"/>
    <cellStyle name="常规 2" xfId="2" xr:uid="{00000000-0005-0000-0000-000002000000}"/>
    <cellStyle name="常规 3" xfId="4" xr:uid="{F5C9A0DF-2F91-469F-B9FA-C9787BB2E5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4"/>
  <sheetViews>
    <sheetView tabSelected="1" workbookViewId="0">
      <selection activeCell="H26" sqref="H26"/>
    </sheetView>
  </sheetViews>
  <sheetFormatPr defaultColWidth="11.6640625" defaultRowHeight="14.4" x14ac:dyDescent="0.3"/>
  <sheetData>
    <row r="1" spans="1:32" x14ac:dyDescent="0.3">
      <c r="F1" t="s">
        <v>33</v>
      </c>
      <c r="O1" s="38" t="s">
        <v>29</v>
      </c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</row>
    <row r="2" spans="1:32" x14ac:dyDescent="0.3">
      <c r="B2" t="s">
        <v>32</v>
      </c>
      <c r="D2" t="s">
        <v>21</v>
      </c>
      <c r="F2" t="s">
        <v>31</v>
      </c>
      <c r="H2" t="s">
        <v>30</v>
      </c>
      <c r="J2" t="s">
        <v>34</v>
      </c>
      <c r="L2" t="s">
        <v>35</v>
      </c>
      <c r="O2" s="38" t="s">
        <v>5</v>
      </c>
      <c r="P2" s="38"/>
      <c r="Q2" s="38"/>
      <c r="R2" s="38"/>
      <c r="S2" s="38"/>
      <c r="T2" s="38"/>
      <c r="U2" s="38" t="s">
        <v>4</v>
      </c>
      <c r="V2" s="38"/>
      <c r="W2" s="38"/>
      <c r="X2" s="38"/>
      <c r="Y2" s="38"/>
      <c r="Z2" s="38"/>
      <c r="AA2" s="38" t="s">
        <v>43</v>
      </c>
      <c r="AB2" s="38"/>
      <c r="AC2" s="38"/>
      <c r="AD2" s="38"/>
      <c r="AE2" s="38"/>
      <c r="AF2" s="38"/>
    </row>
    <row r="4" spans="1:32" x14ac:dyDescent="0.3">
      <c r="A4">
        <v>2003</v>
      </c>
    </row>
    <row r="5" spans="1:32" x14ac:dyDescent="0.3">
      <c r="A5">
        <v>2004</v>
      </c>
      <c r="B5" s="15">
        <v>0.27552488446235657</v>
      </c>
      <c r="C5" s="15">
        <v>2.0103140268474817E-3</v>
      </c>
      <c r="D5" s="15">
        <v>0.21519730985164642</v>
      </c>
      <c r="E5" s="15">
        <v>1.5904634492471814E-3</v>
      </c>
      <c r="F5" s="15">
        <v>0.1478569507598877</v>
      </c>
      <c r="G5" s="15">
        <v>1.9212064798921347E-3</v>
      </c>
      <c r="H5" s="15">
        <v>0.15445595979690552</v>
      </c>
      <c r="I5" s="15">
        <v>1.7735433066263795E-3</v>
      </c>
      <c r="J5" s="15">
        <v>0.15896420180797577</v>
      </c>
      <c r="K5" s="15">
        <v>1.5752087347209454E-3</v>
      </c>
      <c r="L5" s="15">
        <v>4.8000697046518326E-2</v>
      </c>
      <c r="M5" s="15">
        <v>9.923987090587616E-4</v>
      </c>
      <c r="N5" s="15"/>
      <c r="O5" s="15">
        <v>0.38813826441764832</v>
      </c>
      <c r="P5" s="15">
        <v>3.2353517599403858E-3</v>
      </c>
      <c r="Q5" s="15">
        <v>0.3333333432674408</v>
      </c>
      <c r="R5" s="15">
        <v>2.9493146575987339E-3</v>
      </c>
      <c r="S5" s="15">
        <v>0.27049732208251953</v>
      </c>
      <c r="T5" s="15">
        <v>0.4861111044883728</v>
      </c>
      <c r="U5" s="15">
        <v>0.26278179883956909</v>
      </c>
      <c r="V5" s="15">
        <v>4.1026375256478786E-3</v>
      </c>
      <c r="W5" s="15">
        <v>0.20000000298023224</v>
      </c>
      <c r="X5" s="15">
        <v>4.297811072319746E-3</v>
      </c>
      <c r="Y5" s="15">
        <v>0.19850528240203857</v>
      </c>
      <c r="Z5" s="15">
        <v>0.24945056438446045</v>
      </c>
      <c r="AA5" s="15">
        <v>0.3590647280216217</v>
      </c>
      <c r="AB5" s="15">
        <v>2.4410614278167486E-3</v>
      </c>
      <c r="AC5" s="15">
        <v>0.28571429848670959</v>
      </c>
      <c r="AD5" s="15">
        <v>3.3414987847208977E-3</v>
      </c>
      <c r="AE5" s="15">
        <v>0.26102209091186523</v>
      </c>
      <c r="AF5" s="15">
        <v>0.43447747826576233</v>
      </c>
    </row>
    <row r="6" spans="1:32" x14ac:dyDescent="0.3">
      <c r="A6">
        <v>2005</v>
      </c>
      <c r="B6" s="12">
        <v>0.27360516786575317</v>
      </c>
      <c r="C6" s="12">
        <v>2.3950415197759867E-3</v>
      </c>
      <c r="D6" s="12">
        <v>0.21182605624198914</v>
      </c>
      <c r="E6" s="12">
        <v>1.9666079897433519E-3</v>
      </c>
      <c r="F6" s="12">
        <v>0.1469600647687912</v>
      </c>
      <c r="G6" s="12">
        <v>1.5682337107136846E-3</v>
      </c>
      <c r="H6" s="12">
        <v>0.16251955926418304</v>
      </c>
      <c r="I6" s="12">
        <v>1.6733593074604869E-3</v>
      </c>
      <c r="J6" s="12">
        <v>0.15820211172103882</v>
      </c>
      <c r="K6" s="12">
        <v>1.7428855644538999E-3</v>
      </c>
      <c r="L6" s="12">
        <v>4.6887058764696121E-2</v>
      </c>
      <c r="M6" s="12">
        <v>1.1288963723927736E-3</v>
      </c>
      <c r="N6" s="12"/>
      <c r="O6" s="12">
        <v>0.38339731097221375</v>
      </c>
      <c r="P6" s="12">
        <v>2.8398362919688225E-3</v>
      </c>
      <c r="Q6" s="12">
        <v>0.3174603283405304</v>
      </c>
      <c r="R6" s="12">
        <v>9.2215575277805328E-3</v>
      </c>
      <c r="S6" s="12">
        <v>0.27374681830406189</v>
      </c>
      <c r="T6" s="12">
        <v>0.48801368474960327</v>
      </c>
      <c r="U6" s="12">
        <v>0.26482310891151428</v>
      </c>
      <c r="V6" s="12">
        <v>4.2264466173946857E-3</v>
      </c>
      <c r="W6" s="12">
        <v>0.20000000298023224</v>
      </c>
      <c r="X6" s="12">
        <v>5.2306530997157097E-3</v>
      </c>
      <c r="Y6" s="12">
        <v>0.20389451086521149</v>
      </c>
      <c r="Z6" s="12">
        <v>0.26973682641983032</v>
      </c>
      <c r="AA6" s="12">
        <v>0.35628911852836609</v>
      </c>
      <c r="AB6" s="12">
        <v>2.8127192053943872E-3</v>
      </c>
      <c r="AC6" s="12">
        <v>0.27397260069847107</v>
      </c>
      <c r="AD6" s="12">
        <v>4.827610682696104E-3</v>
      </c>
      <c r="AE6" s="12">
        <v>0.26416727900505066</v>
      </c>
      <c r="AF6" s="12">
        <v>0.44642859697341919</v>
      </c>
    </row>
    <row r="7" spans="1:32" x14ac:dyDescent="0.3">
      <c r="A7">
        <v>2006</v>
      </c>
      <c r="B7" s="12">
        <v>0.26587328314781189</v>
      </c>
      <c r="C7" s="12">
        <v>1.9038106547668576E-3</v>
      </c>
      <c r="D7" s="12">
        <v>0.20428693294525146</v>
      </c>
      <c r="E7" s="12">
        <v>2.0022282842546701E-3</v>
      </c>
      <c r="F7" s="12">
        <v>0.14953865110874176</v>
      </c>
      <c r="G7" s="12">
        <v>1.541450503282249E-3</v>
      </c>
      <c r="H7" s="12">
        <v>0.18153724074363708</v>
      </c>
      <c r="I7" s="12">
        <v>1.8478130223229527E-3</v>
      </c>
      <c r="J7" s="12">
        <v>0.15091940760612488</v>
      </c>
      <c r="K7" s="12">
        <v>1.4391569420695305E-3</v>
      </c>
      <c r="L7" s="12">
        <v>4.7844476997852325E-2</v>
      </c>
      <c r="M7" s="12">
        <v>1.0190020548179746E-3</v>
      </c>
      <c r="N7" s="12"/>
      <c r="O7" s="12">
        <v>0.36885911226272583</v>
      </c>
      <c r="P7" s="12">
        <v>3.1439880840480328E-3</v>
      </c>
      <c r="Q7" s="12">
        <v>0.29411765933036804</v>
      </c>
      <c r="R7" s="12">
        <v>8.1391371786594391E-3</v>
      </c>
      <c r="S7" s="12">
        <v>0.26581379771232605</v>
      </c>
      <c r="T7" s="12">
        <v>0.4528985321521759</v>
      </c>
      <c r="U7" s="12">
        <v>0.2556895911693573</v>
      </c>
      <c r="V7" s="12">
        <v>3.9564291946589947E-3</v>
      </c>
      <c r="W7" s="12">
        <v>0.17647059261798859</v>
      </c>
      <c r="X7" s="12">
        <v>7.0804469287395477E-3</v>
      </c>
      <c r="Y7" s="12">
        <v>0.20499621331691742</v>
      </c>
      <c r="Z7" s="12">
        <v>0.23558898270130157</v>
      </c>
      <c r="AA7" s="12">
        <v>0.34161806106567383</v>
      </c>
      <c r="AB7" s="12">
        <v>3.0610349494963884E-3</v>
      </c>
      <c r="AC7" s="12">
        <v>0.25</v>
      </c>
      <c r="AD7" s="12">
        <v>4.3100863695144653E-3</v>
      </c>
      <c r="AE7" s="12">
        <v>0.2570996880531311</v>
      </c>
      <c r="AF7" s="12">
        <v>0.41360294818878174</v>
      </c>
    </row>
    <row r="8" spans="1:32" x14ac:dyDescent="0.3">
      <c r="A8">
        <v>2007</v>
      </c>
      <c r="B8" s="12">
        <v>0.25412574410438538</v>
      </c>
      <c r="C8" s="12">
        <v>1.9423190969973803E-3</v>
      </c>
      <c r="D8" s="12">
        <v>0.19387310743331909</v>
      </c>
      <c r="E8" s="12">
        <v>1.9309951458126307E-3</v>
      </c>
      <c r="F8" s="12">
        <v>0.15026859939098358</v>
      </c>
      <c r="G8" s="12">
        <v>1.8138132290914655E-3</v>
      </c>
      <c r="H8" s="12">
        <v>0.19757537543773651</v>
      </c>
      <c r="I8" s="12">
        <v>1.9063397776335478E-3</v>
      </c>
      <c r="J8" s="12">
        <v>0.15440642833709717</v>
      </c>
      <c r="K8" s="12">
        <v>1.6823315527290106E-3</v>
      </c>
      <c r="L8" s="12">
        <v>4.9750763922929764E-2</v>
      </c>
      <c r="M8" s="12">
        <v>1.1130183702334762E-3</v>
      </c>
      <c r="N8" s="12"/>
      <c r="O8" s="12">
        <v>0.35351657867431641</v>
      </c>
      <c r="P8" s="12">
        <v>3.0702028889209032E-3</v>
      </c>
      <c r="Q8" s="12">
        <v>0.26666668057441711</v>
      </c>
      <c r="R8" s="12">
        <v>9.2065706849098206E-3</v>
      </c>
      <c r="S8" s="12">
        <v>0.26509794592857361</v>
      </c>
      <c r="T8" s="12">
        <v>0.45378154516220093</v>
      </c>
      <c r="U8" s="12">
        <v>0.24313607811927795</v>
      </c>
      <c r="V8" s="12">
        <v>4.1239247657358646E-3</v>
      </c>
      <c r="W8" s="12">
        <v>0.1666666716337204</v>
      </c>
      <c r="X8" s="12">
        <v>2.6014137547463179E-3</v>
      </c>
      <c r="Y8" s="12">
        <v>0.19940744340419769</v>
      </c>
      <c r="Z8" s="12">
        <v>0.24242424964904785</v>
      </c>
      <c r="AA8" s="12">
        <v>0.32661810517311096</v>
      </c>
      <c r="AB8" s="12">
        <v>2.5476187001913786E-3</v>
      </c>
      <c r="AC8" s="12">
        <v>0.23076923191547394</v>
      </c>
      <c r="AD8" s="12">
        <v>3.5748800728470087E-3</v>
      </c>
      <c r="AE8" s="12">
        <v>0.25511038303375244</v>
      </c>
      <c r="AF8" s="12">
        <v>0.3888888955116272</v>
      </c>
    </row>
    <row r="9" spans="1:32" x14ac:dyDescent="0.3">
      <c r="A9">
        <v>2008</v>
      </c>
      <c r="B9" s="12">
        <v>0.24967597424983978</v>
      </c>
      <c r="C9" s="12">
        <v>2.2335380781441927E-3</v>
      </c>
      <c r="D9" s="12">
        <v>0.20141392946243286</v>
      </c>
      <c r="E9" s="12">
        <v>1.792840426787734E-3</v>
      </c>
      <c r="F9" s="12">
        <v>0.15956167876720428</v>
      </c>
      <c r="G9" s="12">
        <v>1.8236350733786821E-3</v>
      </c>
      <c r="H9" s="12">
        <v>0.19934016466140747</v>
      </c>
      <c r="I9" s="12">
        <v>1.6869830433279276E-3</v>
      </c>
      <c r="J9" s="12">
        <v>0.14391422271728516</v>
      </c>
      <c r="K9" s="12">
        <v>1.6240312252193689E-3</v>
      </c>
      <c r="L9" s="12">
        <v>4.6094026416540146E-2</v>
      </c>
      <c r="M9" s="12">
        <v>1.0554931359365582E-3</v>
      </c>
      <c r="N9" s="12"/>
      <c r="O9" s="12">
        <v>0.34796050190925598</v>
      </c>
      <c r="P9" s="12">
        <v>3.4741191193461418E-3</v>
      </c>
      <c r="Q9" s="12">
        <v>0.25</v>
      </c>
      <c r="R9" s="12">
        <v>6.1601405031979084E-3</v>
      </c>
      <c r="S9" s="12">
        <v>0.26422423124313354</v>
      </c>
      <c r="T9" s="12">
        <v>0.43987506628036499</v>
      </c>
      <c r="U9" s="12">
        <v>0.22925907373428345</v>
      </c>
      <c r="V9" s="12">
        <v>4.5041809789836407E-3</v>
      </c>
      <c r="W9" s="12">
        <v>0.1666666716337204</v>
      </c>
      <c r="X9" s="12">
        <v>2.2831112437415868E-4</v>
      </c>
      <c r="Y9" s="12">
        <v>0.18100279569625854</v>
      </c>
      <c r="Z9" s="12">
        <v>0.22051331400871277</v>
      </c>
      <c r="AA9" s="12">
        <v>0.31916478276252747</v>
      </c>
      <c r="AB9" s="12">
        <v>2.8012217953801155E-3</v>
      </c>
      <c r="AC9" s="12">
        <v>0.22727273404598236</v>
      </c>
      <c r="AD9" s="12">
        <v>4.3405648320913315E-3</v>
      </c>
      <c r="AE9" s="12">
        <v>0.25181332230567932</v>
      </c>
      <c r="AF9" s="12">
        <v>0.39108911156654358</v>
      </c>
    </row>
    <row r="10" spans="1:32" x14ac:dyDescent="0.3">
      <c r="A10">
        <v>2009</v>
      </c>
      <c r="B10" s="12">
        <v>0.23778510093688965</v>
      </c>
      <c r="C10" s="12">
        <v>2.1951424423605204E-3</v>
      </c>
      <c r="D10" s="12">
        <v>0.20288194715976715</v>
      </c>
      <c r="E10" s="12">
        <v>1.8592446576803923E-3</v>
      </c>
      <c r="F10" s="12">
        <v>0.17053154110908508</v>
      </c>
      <c r="G10" s="12">
        <v>1.9762031733989716E-3</v>
      </c>
      <c r="H10" s="12">
        <v>0.20963355898857117</v>
      </c>
      <c r="I10" s="12">
        <v>1.8730300944298506E-3</v>
      </c>
      <c r="J10" s="12">
        <v>0.13734611868858337</v>
      </c>
      <c r="K10" s="12">
        <v>1.9394347909837961E-3</v>
      </c>
      <c r="L10" s="12">
        <v>4.1821740567684174E-2</v>
      </c>
      <c r="M10" s="12">
        <v>9.5171155408024788E-4</v>
      </c>
      <c r="N10" s="12"/>
      <c r="O10" s="12">
        <v>0.34269660711288452</v>
      </c>
      <c r="P10" s="12">
        <v>4.0335864759981632E-3</v>
      </c>
      <c r="Q10" s="12">
        <v>0.23076923191547394</v>
      </c>
      <c r="R10" s="12">
        <v>5.4862862452864647E-3</v>
      </c>
      <c r="S10" s="12">
        <v>0.26886150240898132</v>
      </c>
      <c r="T10" s="12">
        <v>0.45068663358688354</v>
      </c>
      <c r="U10" s="12">
        <v>0.20559900999069214</v>
      </c>
      <c r="V10" s="12">
        <v>3.8315432611852884E-3</v>
      </c>
      <c r="W10" s="12">
        <v>0.1428571492433548</v>
      </c>
      <c r="X10" s="12">
        <v>2.0405580289661884E-3</v>
      </c>
      <c r="Y10" s="12">
        <v>0.16958889365196228</v>
      </c>
      <c r="Z10" s="12">
        <v>0.16936486959457397</v>
      </c>
      <c r="AA10" s="12">
        <v>0.31069499254226685</v>
      </c>
      <c r="AB10" s="12">
        <v>3.1925120856612921E-3</v>
      </c>
      <c r="AC10" s="12">
        <v>0.20000000298023224</v>
      </c>
      <c r="AD10" s="12">
        <v>9.0191460913047194E-4</v>
      </c>
      <c r="AE10" s="12">
        <v>0.25590047240257263</v>
      </c>
      <c r="AF10" s="12">
        <v>0.40000000596046448</v>
      </c>
    </row>
    <row r="11" spans="1:32" x14ac:dyDescent="0.3">
      <c r="A11">
        <v>2010</v>
      </c>
      <c r="B11" s="12">
        <v>0.23234458267688751</v>
      </c>
      <c r="C11" s="12">
        <v>2.21437425352633E-3</v>
      </c>
      <c r="D11" s="12">
        <v>0.19782625138759613</v>
      </c>
      <c r="E11" s="12">
        <v>1.8834559014067054E-3</v>
      </c>
      <c r="F11" s="12">
        <v>0.17991295456886292</v>
      </c>
      <c r="G11" s="12">
        <v>1.8690157448872924E-3</v>
      </c>
      <c r="H11" s="12">
        <v>0.21616725623607635</v>
      </c>
      <c r="I11" s="12">
        <v>1.9746320322155952E-3</v>
      </c>
      <c r="J11" s="12">
        <v>0.13261377811431885</v>
      </c>
      <c r="K11" s="12">
        <v>1.6097367042675614E-3</v>
      </c>
      <c r="L11" s="12">
        <v>4.1135180741548538E-2</v>
      </c>
      <c r="M11" s="12">
        <v>1.0250335326418281E-3</v>
      </c>
      <c r="N11" s="12"/>
      <c r="O11" s="12">
        <v>0.34196051955223083</v>
      </c>
      <c r="P11" s="12">
        <v>4.03972202911973E-3</v>
      </c>
      <c r="Q11" s="12">
        <v>0.23076923191547394</v>
      </c>
      <c r="R11" s="12">
        <v>6.9717499427497387E-3</v>
      </c>
      <c r="S11" s="12">
        <v>0.27048701047897339</v>
      </c>
      <c r="T11" s="12">
        <v>0.44444447755813599</v>
      </c>
      <c r="U11" s="12">
        <v>0.2001308798789978</v>
      </c>
      <c r="V11" s="12">
        <v>4.4993888586759567E-3</v>
      </c>
      <c r="W11" s="12">
        <v>0.1304347813129425</v>
      </c>
      <c r="X11" s="12">
        <v>4.8504439182579517E-3</v>
      </c>
      <c r="Y11" s="12">
        <v>0.1701713353395462</v>
      </c>
      <c r="Z11" s="12">
        <v>0.16228070855140686</v>
      </c>
      <c r="AA11" s="12">
        <v>0.30838224291801453</v>
      </c>
      <c r="AB11" s="12">
        <v>3.1078923493623734E-3</v>
      </c>
      <c r="AC11" s="12">
        <v>0.20000000298023224</v>
      </c>
      <c r="AD11" s="12">
        <v>1.8355210777372122E-3</v>
      </c>
      <c r="AE11" s="12">
        <v>0.25754103064537048</v>
      </c>
      <c r="AF11" s="12">
        <v>0.39637649059295654</v>
      </c>
    </row>
    <row r="12" spans="1:32" x14ac:dyDescent="0.3">
      <c r="A12">
        <v>2011</v>
      </c>
      <c r="B12" s="12">
        <v>0.22932219505310059</v>
      </c>
      <c r="C12" s="12">
        <v>2.3733826819807291E-3</v>
      </c>
      <c r="D12" s="12">
        <v>0.19330497086048126</v>
      </c>
      <c r="E12" s="12">
        <v>2.2411299869418144E-3</v>
      </c>
      <c r="F12" s="12">
        <v>0.18591956794261932</v>
      </c>
      <c r="G12" s="12">
        <v>2.1297445055097342E-3</v>
      </c>
      <c r="H12" s="12">
        <v>0.21669209003448486</v>
      </c>
      <c r="I12" s="12">
        <v>2.2151819430291653E-3</v>
      </c>
      <c r="J12" s="12">
        <v>0.13459634780883789</v>
      </c>
      <c r="K12" s="12">
        <v>1.7872097669169307E-3</v>
      </c>
      <c r="L12" s="12">
        <v>4.0164832025766373E-2</v>
      </c>
      <c r="M12" s="12">
        <v>9.5493445405736566E-4</v>
      </c>
      <c r="N12" s="12"/>
      <c r="O12" s="12">
        <v>0.32493230700492859</v>
      </c>
      <c r="P12" s="12">
        <v>3.5512936301529408E-3</v>
      </c>
      <c r="Q12" s="12">
        <v>0.21917808055877686</v>
      </c>
      <c r="R12" s="12">
        <v>7.0743560791015625E-3</v>
      </c>
      <c r="S12" s="12">
        <v>0.261229008436203</v>
      </c>
      <c r="T12" s="12">
        <v>0.41404920816421509</v>
      </c>
      <c r="U12" s="12">
        <v>0.18778467178344727</v>
      </c>
      <c r="V12" s="12">
        <v>4.5432760380208492E-3</v>
      </c>
      <c r="W12" s="12">
        <v>0.1304347813129425</v>
      </c>
      <c r="X12" s="12">
        <v>2.9293568804860115E-3</v>
      </c>
      <c r="Y12" s="12">
        <v>0.15815429389476776</v>
      </c>
      <c r="Z12" s="12">
        <v>0.14743590354919434</v>
      </c>
      <c r="AA12" s="12">
        <v>0.29341208934783936</v>
      </c>
      <c r="AB12" s="12">
        <v>3.0141591560095549E-3</v>
      </c>
      <c r="AC12" s="12">
        <v>0.18495297431945801</v>
      </c>
      <c r="AD12" s="12">
        <v>4.8071122728288174E-3</v>
      </c>
      <c r="AE12" s="12">
        <v>0.24825435876846313</v>
      </c>
      <c r="AF12" s="12">
        <v>0.34160959720611572</v>
      </c>
    </row>
    <row r="13" spans="1:32" x14ac:dyDescent="0.3">
      <c r="A13">
        <v>2012</v>
      </c>
      <c r="B13" s="12">
        <v>0.22787952423095703</v>
      </c>
      <c r="C13" s="12">
        <v>2.0805310923606157E-3</v>
      </c>
      <c r="D13" s="12">
        <v>0.19149933755397797</v>
      </c>
      <c r="E13" s="12">
        <v>2.1207630634307861E-3</v>
      </c>
      <c r="F13" s="12">
        <v>0.19166482985019684</v>
      </c>
      <c r="G13" s="12">
        <v>2.0104115828871727E-3</v>
      </c>
      <c r="H13" s="12">
        <v>0.22021183371543884</v>
      </c>
      <c r="I13" s="12">
        <v>2.123918617144227E-3</v>
      </c>
      <c r="J13" s="12">
        <v>0.12979920208454132</v>
      </c>
      <c r="K13" s="12">
        <v>1.921100658364594E-3</v>
      </c>
      <c r="L13" s="12">
        <v>3.8945276290178299E-2</v>
      </c>
      <c r="M13" s="12">
        <v>1.0066910181194544E-3</v>
      </c>
      <c r="N13" s="12"/>
      <c r="O13" s="12">
        <v>0.31191623210906982</v>
      </c>
      <c r="P13" s="12">
        <v>3.9623626507818699E-3</v>
      </c>
      <c r="Q13" s="12">
        <v>0.21505376696586609</v>
      </c>
      <c r="R13" s="12">
        <v>7.0855878293514252E-3</v>
      </c>
      <c r="S13" s="12">
        <v>0.25293257832527161</v>
      </c>
      <c r="T13" s="12">
        <v>0.40000000596046448</v>
      </c>
      <c r="U13" s="12">
        <v>0.19981446862220764</v>
      </c>
      <c r="V13" s="12">
        <v>4.6804524026811123E-3</v>
      </c>
      <c r="W13" s="12">
        <v>0.13490763306617737</v>
      </c>
      <c r="X13" s="12">
        <v>4.9913395196199417E-3</v>
      </c>
      <c r="Y13" s="12">
        <v>0.1744636744260788</v>
      </c>
      <c r="Z13" s="12">
        <v>0.1666666567325592</v>
      </c>
      <c r="AA13" s="12">
        <v>0.28604379296302795</v>
      </c>
      <c r="AB13" s="12">
        <v>2.9693027026951313E-3</v>
      </c>
      <c r="AC13" s="12">
        <v>0.18854251503944397</v>
      </c>
      <c r="AD13" s="12">
        <v>5.8338050730526447E-3</v>
      </c>
      <c r="AE13" s="12">
        <v>0.24178452789783478</v>
      </c>
      <c r="AF13" s="12">
        <v>0.33717310428619385</v>
      </c>
    </row>
    <row r="14" spans="1:32" x14ac:dyDescent="0.3">
      <c r="A14">
        <v>2013</v>
      </c>
      <c r="B14" s="12">
        <v>0.21900650858879089</v>
      </c>
      <c r="C14" s="12">
        <v>2.2435295395553112E-3</v>
      </c>
      <c r="D14" s="12">
        <v>0.18724437057971954</v>
      </c>
      <c r="E14" s="12">
        <v>2.122566569596529E-3</v>
      </c>
      <c r="F14" s="12">
        <v>0.20642577111721039</v>
      </c>
      <c r="G14" s="12">
        <v>2.2461707703769207E-3</v>
      </c>
      <c r="H14" s="12">
        <v>0.22667907178401947</v>
      </c>
      <c r="I14" s="12">
        <v>2.1770619787275791E-3</v>
      </c>
      <c r="J14" s="12">
        <v>0.12335336208343506</v>
      </c>
      <c r="K14" s="12">
        <v>1.5931068919599056E-3</v>
      </c>
      <c r="L14" s="12">
        <v>3.7290908396244049E-2</v>
      </c>
      <c r="M14" s="12">
        <v>1.0883460054174066E-3</v>
      </c>
      <c r="N14" s="12"/>
      <c r="O14" s="12">
        <v>0.30312013626098633</v>
      </c>
      <c r="P14" s="12">
        <v>3.9250650443136692E-3</v>
      </c>
      <c r="Q14" s="12">
        <v>0.20000000298023224</v>
      </c>
      <c r="R14" s="12">
        <v>4.9106013029813766E-3</v>
      </c>
      <c r="S14" s="12">
        <v>0.25441321730613708</v>
      </c>
      <c r="T14" s="12">
        <v>0.37941628694534302</v>
      </c>
      <c r="U14" s="12">
        <v>0.1906227171421051</v>
      </c>
      <c r="V14" s="12">
        <v>4.3267617002129555E-3</v>
      </c>
      <c r="W14" s="12">
        <v>0.13333334028720856</v>
      </c>
      <c r="X14" s="12">
        <v>4.2694448493421078E-3</v>
      </c>
      <c r="Y14" s="12">
        <v>0.15810482203960419</v>
      </c>
      <c r="Z14" s="12">
        <v>0.14381271600723267</v>
      </c>
      <c r="AA14" s="12">
        <v>0.27700573205947876</v>
      </c>
      <c r="AB14" s="12">
        <v>3.5030124709010124E-3</v>
      </c>
      <c r="AC14" s="12">
        <v>0.1666666716337204</v>
      </c>
      <c r="AD14" s="12">
        <v>2.6077304501086473E-3</v>
      </c>
      <c r="AE14" s="12">
        <v>0.24032039940357208</v>
      </c>
      <c r="AF14" s="12">
        <v>0.30909091234207153</v>
      </c>
    </row>
    <row r="15" spans="1:32" x14ac:dyDescent="0.3">
      <c r="A15">
        <v>2014</v>
      </c>
      <c r="B15" s="21">
        <v>0.19991129636764526</v>
      </c>
      <c r="C15" s="21">
        <v>2.2102366201579571E-3</v>
      </c>
      <c r="D15" s="21">
        <v>0.1720917671918869</v>
      </c>
      <c r="E15" s="21">
        <v>1.8352880142629147E-3</v>
      </c>
      <c r="F15" s="21">
        <v>0.23376783728599548</v>
      </c>
      <c r="G15" s="21">
        <v>1.9954119343310595E-3</v>
      </c>
      <c r="H15" s="21">
        <v>0.23761181533336639</v>
      </c>
      <c r="I15" s="21">
        <v>1.8866325262933969E-3</v>
      </c>
      <c r="J15" s="21">
        <v>0.11716728657484055</v>
      </c>
      <c r="K15" s="21">
        <v>1.3782705646008253E-3</v>
      </c>
      <c r="L15" s="21">
        <v>3.9450015872716904E-2</v>
      </c>
      <c r="M15" s="21">
        <v>9.838474215939641E-4</v>
      </c>
      <c r="N15" s="21"/>
      <c r="O15" s="21">
        <v>0.28667441010475159</v>
      </c>
      <c r="P15" s="21">
        <v>3.5018601920455694E-3</v>
      </c>
      <c r="Q15" s="21">
        <v>0.1805555522441864</v>
      </c>
      <c r="R15" s="21">
        <v>6.0818851925432682E-3</v>
      </c>
      <c r="S15" s="21">
        <v>0.23595739901065826</v>
      </c>
      <c r="T15" s="21">
        <v>0.34099379181861877</v>
      </c>
      <c r="U15" s="21">
        <v>0.19306996464729309</v>
      </c>
      <c r="V15" s="21">
        <v>4.3935524299740791E-3</v>
      </c>
      <c r="W15" s="21">
        <v>0.13432836532592773</v>
      </c>
      <c r="X15" s="21">
        <v>4.2885490693151951E-3</v>
      </c>
      <c r="Y15" s="21">
        <v>0.16130146384239197</v>
      </c>
      <c r="Z15" s="21">
        <v>0.1666666567325592</v>
      </c>
      <c r="AA15" s="21">
        <v>0.26309657096862793</v>
      </c>
      <c r="AB15" s="21">
        <v>2.0672779064625502E-3</v>
      </c>
      <c r="AC15" s="21">
        <v>0.1666666716337204</v>
      </c>
      <c r="AD15" s="21">
        <v>0</v>
      </c>
      <c r="AE15" s="21">
        <v>0.22327457368373871</v>
      </c>
      <c r="AF15" s="21">
        <v>0.26857811212539673</v>
      </c>
    </row>
    <row r="16" spans="1:32" x14ac:dyDescent="0.3">
      <c r="A16">
        <v>2015</v>
      </c>
      <c r="B16" s="21">
        <v>0.19043977558612823</v>
      </c>
      <c r="C16" s="21">
        <v>2.0544887520372868E-3</v>
      </c>
      <c r="D16" s="21">
        <v>0.16591095924377441</v>
      </c>
      <c r="E16" s="21">
        <v>1.9169769948348403E-3</v>
      </c>
      <c r="F16" s="21">
        <v>0.24269326031208038</v>
      </c>
      <c r="G16" s="21">
        <v>1.9386345520615578E-3</v>
      </c>
      <c r="H16" s="21">
        <v>0.24960392713546753</v>
      </c>
      <c r="I16" s="21">
        <v>2.1846734452992678E-3</v>
      </c>
      <c r="J16" s="21">
        <v>0.11444960534572601</v>
      </c>
      <c r="K16" s="21">
        <v>1.6865970101207495E-3</v>
      </c>
      <c r="L16" s="21">
        <v>3.6902487277984619E-2</v>
      </c>
      <c r="M16" s="21">
        <v>9.8732509650290012E-4</v>
      </c>
      <c r="N16" s="21"/>
      <c r="O16" s="21">
        <v>0.27616077661514282</v>
      </c>
      <c r="P16" s="21">
        <v>3.2199288252741098E-3</v>
      </c>
      <c r="Q16" s="21">
        <v>0.17241379618644714</v>
      </c>
      <c r="R16" s="21">
        <v>5.4024648852646351E-3</v>
      </c>
      <c r="S16" s="21">
        <v>0.23218716681003571</v>
      </c>
      <c r="T16" s="21">
        <v>0.31106579303741455</v>
      </c>
      <c r="U16" s="21">
        <v>0.18530856072902679</v>
      </c>
      <c r="V16" s="21">
        <v>4.0611526928842068E-3</v>
      </c>
      <c r="W16" s="21">
        <v>0.1304347813129425</v>
      </c>
      <c r="X16" s="21">
        <v>2.6594295632094145E-3</v>
      </c>
      <c r="Y16" s="21">
        <v>0.15376755595207214</v>
      </c>
      <c r="Z16" s="21">
        <v>0.15036636590957642</v>
      </c>
      <c r="AA16" s="21">
        <v>0.25400930643081665</v>
      </c>
      <c r="AB16" s="21">
        <v>2.765716752037406E-3</v>
      </c>
      <c r="AC16" s="21">
        <v>0.1666666716337204</v>
      </c>
      <c r="AD16" s="21">
        <v>1.6855599824339151E-3</v>
      </c>
      <c r="AE16" s="21">
        <v>0.21919821202754974</v>
      </c>
      <c r="AF16" s="21">
        <v>0.24242424964904785</v>
      </c>
    </row>
    <row r="17" spans="1:32" x14ac:dyDescent="0.3">
      <c r="A17">
        <v>2016</v>
      </c>
      <c r="B17" s="21">
        <v>0.18128249049186707</v>
      </c>
      <c r="C17" s="21">
        <v>2.3935583885759115E-3</v>
      </c>
      <c r="D17" s="21">
        <v>0.16622921824455261</v>
      </c>
      <c r="E17" s="21">
        <v>1.9800968002527952E-3</v>
      </c>
      <c r="F17" s="21">
        <v>0.26666152477264404</v>
      </c>
      <c r="G17" s="21">
        <v>2.4736234918236732E-3</v>
      </c>
      <c r="H17" s="21">
        <v>0.25922495126724243</v>
      </c>
      <c r="I17" s="21">
        <v>1.6182548133656383E-3</v>
      </c>
      <c r="J17" s="21">
        <v>9.5105759799480438E-2</v>
      </c>
      <c r="K17" s="21">
        <v>1.4465696876868606E-3</v>
      </c>
      <c r="L17" s="21">
        <v>3.1496062874794006E-2</v>
      </c>
      <c r="M17" s="21">
        <v>9.4134930986911058E-4</v>
      </c>
      <c r="N17" s="21"/>
      <c r="O17" s="21">
        <v>0.25151285529136658</v>
      </c>
      <c r="P17" s="21">
        <v>3.3770336303859949E-3</v>
      </c>
      <c r="Q17" s="21">
        <v>0.1666666716337204</v>
      </c>
      <c r="R17" s="21">
        <v>0</v>
      </c>
      <c r="S17" s="21">
        <v>0.2133679986000061</v>
      </c>
      <c r="T17" s="21">
        <v>0.24242424964904785</v>
      </c>
      <c r="U17" s="21">
        <v>0.19159315526485443</v>
      </c>
      <c r="V17" s="21">
        <v>4.2925993911921978E-3</v>
      </c>
      <c r="W17" s="21">
        <v>0.1304347813129425</v>
      </c>
      <c r="X17" s="21">
        <v>4.054440651088953E-3</v>
      </c>
      <c r="Y17" s="21">
        <v>0.16503307223320007</v>
      </c>
      <c r="Z17" s="21">
        <v>0.15735632181167603</v>
      </c>
      <c r="AA17" s="21">
        <v>0.23660600185394287</v>
      </c>
      <c r="AB17" s="21">
        <v>3.192167030647397E-3</v>
      </c>
      <c r="AC17" s="21">
        <v>0.15999999642372131</v>
      </c>
      <c r="AD17" s="21">
        <v>2.580275060608983E-3</v>
      </c>
      <c r="AE17" s="21">
        <v>0.20405974984169006</v>
      </c>
      <c r="AF17" s="21">
        <v>0.23245018720626831</v>
      </c>
    </row>
    <row r="18" spans="1:32" x14ac:dyDescent="0.3">
      <c r="A18">
        <v>2017</v>
      </c>
      <c r="B18" s="21">
        <v>0.16823793947696686</v>
      </c>
      <c r="C18" s="21">
        <v>1.9665639847517014E-3</v>
      </c>
      <c r="D18" s="21">
        <v>0.1502244621515274</v>
      </c>
      <c r="E18" s="21">
        <v>1.7883928958326578E-3</v>
      </c>
      <c r="F18" s="21">
        <v>0.286924809217453</v>
      </c>
      <c r="G18" s="21">
        <v>2.1753401961177588E-3</v>
      </c>
      <c r="H18" s="21">
        <v>0.27940517663955688</v>
      </c>
      <c r="I18" s="21">
        <v>2.1469860803335905E-3</v>
      </c>
      <c r="J18" s="21">
        <v>8.7261505424976349E-2</v>
      </c>
      <c r="K18" s="21">
        <v>1.3403742341324687E-3</v>
      </c>
      <c r="L18" s="21">
        <v>2.7946127578616142E-2</v>
      </c>
      <c r="M18" s="21">
        <v>9.3748839572072029E-4</v>
      </c>
      <c r="N18" s="21"/>
      <c r="O18" s="21">
        <v>0.23836922645568848</v>
      </c>
      <c r="P18" s="21">
        <v>3.3531824592500925E-3</v>
      </c>
      <c r="Q18" s="21">
        <v>0.1666666716337204</v>
      </c>
      <c r="R18" s="21">
        <v>2.49889912083745E-3</v>
      </c>
      <c r="S18" s="21">
        <v>0.20323763787746429</v>
      </c>
      <c r="T18" s="21">
        <v>0.22727271914482117</v>
      </c>
      <c r="U18" s="21">
        <v>0.18110665678977966</v>
      </c>
      <c r="V18" s="21">
        <v>4.4108093716204166E-3</v>
      </c>
      <c r="W18" s="21">
        <v>0.125</v>
      </c>
      <c r="X18" s="21">
        <v>5.5579245090484619E-3</v>
      </c>
      <c r="Y18" s="21">
        <v>0.15842001140117645</v>
      </c>
      <c r="Z18" s="21">
        <v>0.11666666716337204</v>
      </c>
      <c r="AA18" s="21">
        <v>0.22447894513607025</v>
      </c>
      <c r="AB18" s="21">
        <v>2.5911948177963495E-3</v>
      </c>
      <c r="AC18" s="21">
        <v>0.14893616735935211</v>
      </c>
      <c r="AD18" s="21">
        <v>4.6396390534937382E-3</v>
      </c>
      <c r="AE18" s="21">
        <v>0.1948571503162384</v>
      </c>
      <c r="AF18" s="21">
        <v>0.19480520486831665</v>
      </c>
    </row>
    <row r="19" spans="1:32" x14ac:dyDescent="0.3">
      <c r="A19">
        <v>2018</v>
      </c>
      <c r="B19" s="33">
        <v>0.16723521053791046</v>
      </c>
      <c r="C19" s="33">
        <v>1.8851287895813584E-3</v>
      </c>
      <c r="D19" s="33">
        <v>0.15468165278434753</v>
      </c>
      <c r="E19" s="33">
        <v>1.5482136514037848E-3</v>
      </c>
      <c r="F19" s="33">
        <v>0.29588189721107483</v>
      </c>
      <c r="G19" s="33">
        <v>2.2992603480815887E-3</v>
      </c>
      <c r="H19" s="33">
        <v>0.26212373375892639</v>
      </c>
      <c r="I19" s="33">
        <v>1.891771680675447E-3</v>
      </c>
      <c r="J19" s="33">
        <v>9.0440191328525543E-2</v>
      </c>
      <c r="K19" s="33">
        <v>1.5119750751182437E-3</v>
      </c>
      <c r="L19" s="33">
        <v>2.9637310653924942E-2</v>
      </c>
      <c r="M19" s="33">
        <v>9.6276187105104327E-4</v>
      </c>
      <c r="N19" s="33"/>
      <c r="O19" s="33">
        <v>0.25812891125679016</v>
      </c>
      <c r="P19" s="33">
        <v>3.904801094904542E-3</v>
      </c>
      <c r="Q19" s="33">
        <v>0.1666666716337204</v>
      </c>
      <c r="R19" s="33">
        <v>1.835154602304101E-3</v>
      </c>
      <c r="S19" s="33">
        <v>0.22110380232334137</v>
      </c>
      <c r="T19" s="33">
        <v>0.24242424964904785</v>
      </c>
      <c r="U19" s="33">
        <v>0.18788972496986389</v>
      </c>
      <c r="V19" s="33">
        <v>4.9738017842173576E-3</v>
      </c>
      <c r="W19" s="33">
        <v>0.1304347813129425</v>
      </c>
      <c r="X19" s="33">
        <v>4.3555032461881638E-3</v>
      </c>
      <c r="Y19" s="33">
        <v>0.15727970004081726</v>
      </c>
      <c r="Z19" s="33">
        <v>0.14381271600723267</v>
      </c>
      <c r="AA19" s="33">
        <v>0.24079260230064392</v>
      </c>
      <c r="AB19" s="33">
        <v>3.1645854469388723E-3</v>
      </c>
      <c r="AC19" s="33">
        <v>0.15789473056793213</v>
      </c>
      <c r="AD19" s="33">
        <v>3.9652162231504917E-3</v>
      </c>
      <c r="AE19" s="33">
        <v>0.20937192440032959</v>
      </c>
      <c r="AF19" s="33">
        <v>0.23785802721977234</v>
      </c>
    </row>
    <row r="22" spans="1:32" x14ac:dyDescent="0.3"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</row>
    <row r="23" spans="1:32" x14ac:dyDescent="0.3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32" x14ac:dyDescent="0.3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32" x14ac:dyDescent="0.3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32" x14ac:dyDescent="0.3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32" x14ac:dyDescent="0.3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32" x14ac:dyDescent="0.3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32" x14ac:dyDescent="0.3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32" x14ac:dyDescent="0.3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32" x14ac:dyDescent="0.3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32" x14ac:dyDescent="0.3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2:13" x14ac:dyDescent="0.3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2:13" x14ac:dyDescent="0.3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</sheetData>
  <mergeCells count="4">
    <mergeCell ref="AA2:AF2"/>
    <mergeCell ref="O1:AF1"/>
    <mergeCell ref="O2:T2"/>
    <mergeCell ref="U2:Z2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X20"/>
  <sheetViews>
    <sheetView workbookViewId="0">
      <selection activeCell="I23" sqref="I23"/>
    </sheetView>
  </sheetViews>
  <sheetFormatPr defaultColWidth="8.77734375" defaultRowHeight="14.4" x14ac:dyDescent="0.3"/>
  <sheetData>
    <row r="2" spans="1:24" x14ac:dyDescent="0.3">
      <c r="B2" t="s">
        <v>20</v>
      </c>
      <c r="D2" t="s">
        <v>21</v>
      </c>
      <c r="F2" t="s">
        <v>5</v>
      </c>
      <c r="H2" t="s">
        <v>4</v>
      </c>
      <c r="J2" t="s">
        <v>22</v>
      </c>
      <c r="L2" t="s">
        <v>23</v>
      </c>
      <c r="N2" t="s">
        <v>24</v>
      </c>
      <c r="P2" t="s">
        <v>25</v>
      </c>
      <c r="R2" t="s">
        <v>26</v>
      </c>
      <c r="T2" t="s">
        <v>27</v>
      </c>
      <c r="W2" t="s">
        <v>85</v>
      </c>
      <c r="X2" t="s">
        <v>86</v>
      </c>
    </row>
    <row r="3" spans="1:24" x14ac:dyDescent="0.3">
      <c r="A3">
        <v>2003</v>
      </c>
    </row>
    <row r="4" spans="1:24" x14ac:dyDescent="0.3">
      <c r="A4">
        <v>2004</v>
      </c>
      <c r="B4" s="15">
        <v>0.58327406644821167</v>
      </c>
      <c r="C4" s="15">
        <v>4.4371699914336205E-3</v>
      </c>
      <c r="D4" s="15">
        <v>0.51027226448059082</v>
      </c>
      <c r="E4" s="15">
        <v>5.2978647872805595E-3</v>
      </c>
      <c r="F4" s="15">
        <v>0.30534687638282776</v>
      </c>
      <c r="G4" s="15">
        <v>5.6571029126644135E-3</v>
      </c>
      <c r="H4" s="15">
        <v>8.3710737526416779E-2</v>
      </c>
      <c r="I4" s="15">
        <v>3.2298213336616755E-3</v>
      </c>
      <c r="J4" s="15">
        <v>0.42635977268218994</v>
      </c>
      <c r="K4" s="15">
        <v>5.2729910239577293E-3</v>
      </c>
      <c r="L4" s="15">
        <v>0.17785844206809998</v>
      </c>
      <c r="M4" s="15">
        <v>7.4126711115241051E-3</v>
      </c>
      <c r="N4" s="15">
        <v>0.36804372072219849</v>
      </c>
      <c r="O4" s="15">
        <v>4.0741241537034512E-3</v>
      </c>
      <c r="P4" s="15">
        <v>0.10778829455375671</v>
      </c>
      <c r="Q4" s="15">
        <v>2.7370299212634563E-3</v>
      </c>
      <c r="R4" s="15">
        <v>0.55126041173934937</v>
      </c>
      <c r="S4" s="15">
        <v>3.7293983623385429E-3</v>
      </c>
      <c r="T4" s="15">
        <v>0.40526178479194641</v>
      </c>
      <c r="U4" s="15">
        <v>2.5195770431309938E-3</v>
      </c>
      <c r="W4" s="13">
        <f>(B4*'Employment Share'!B5+'Old Share by Employment'!D4*'Employment Share'!D5+'Old Share by Employment'!J4*'Employment Share'!J5+'Old Share by Employment'!L4*'Employment Share'!L5)/('Employment Share'!B5+'Employment Share'!D5+'Employment Share'!J5+'Employment Share'!L5)</f>
        <v>0.49711254789506659</v>
      </c>
      <c r="X4" s="14">
        <f>(J4*'Employment Share'!J5+'Old Share by Employment'!L4*'Employment Share'!L5)/('Employment Share'!J5+'Employment Share'!L5)</f>
        <v>0.36872566587236938</v>
      </c>
    </row>
    <row r="5" spans="1:24" x14ac:dyDescent="0.3">
      <c r="A5">
        <v>2005</v>
      </c>
      <c r="B5" s="12">
        <v>0.58705598115921021</v>
      </c>
      <c r="C5" s="12">
        <v>3.8216216489672661E-3</v>
      </c>
      <c r="D5" s="12">
        <v>0.51949584484100342</v>
      </c>
      <c r="E5" s="12">
        <v>4.6263751573860645E-3</v>
      </c>
      <c r="F5" s="12">
        <v>0.31010502576828003</v>
      </c>
      <c r="G5" s="12">
        <v>5.323006771504879E-3</v>
      </c>
      <c r="H5" s="12">
        <v>8.4919475018978119E-2</v>
      </c>
      <c r="I5" s="12">
        <v>2.8697957750409842E-3</v>
      </c>
      <c r="J5" s="12">
        <v>0.43164139986038208</v>
      </c>
      <c r="K5" s="12">
        <v>5.693923681974411E-3</v>
      </c>
      <c r="L5" s="12">
        <v>0.19217081367969513</v>
      </c>
      <c r="M5" s="12">
        <v>7.3096016421914101E-3</v>
      </c>
      <c r="N5" s="12">
        <v>0.37311187386512756</v>
      </c>
      <c r="O5" s="12">
        <v>4.1531478054821491E-3</v>
      </c>
      <c r="P5" s="12">
        <v>0.11235059797763824</v>
      </c>
      <c r="Q5" s="12">
        <v>3.2584585715085268E-3</v>
      </c>
      <c r="R5" s="12">
        <v>0.55757498741149902</v>
      </c>
      <c r="S5" s="12">
        <v>3.5737738944590092E-3</v>
      </c>
      <c r="T5" s="12">
        <v>0.40805089473724365</v>
      </c>
      <c r="U5" s="12">
        <v>2.4191942065954208E-3</v>
      </c>
      <c r="W5" s="10">
        <f>(B5*'Employment Share'!B6+'Old Share by Employment'!D5*'Employment Share'!D6+'Old Share by Employment'!J5*'Employment Share'!J6+'Old Share by Employment'!L5*'Employment Share'!L6)/('Employment Share'!B6+'Employment Share'!D6+'Employment Share'!J6+'Employment Share'!L6)</f>
        <v>0.50391156328015307</v>
      </c>
      <c r="X5" s="11">
        <f>(J5*'Employment Share'!J6+'Old Share by Employment'!L5*'Employment Share'!L6)/('Employment Share'!J6+'Employment Share'!L6)</f>
        <v>0.37689413348801615</v>
      </c>
    </row>
    <row r="6" spans="1:24" x14ac:dyDescent="0.3">
      <c r="A6">
        <v>2006</v>
      </c>
      <c r="B6" s="12">
        <v>0.60638034343719482</v>
      </c>
      <c r="C6" s="12">
        <v>4.4676875695586205E-3</v>
      </c>
      <c r="D6" s="12">
        <v>0.53910523653030396</v>
      </c>
      <c r="E6" s="12">
        <v>4.4633238576352596E-3</v>
      </c>
      <c r="F6" s="12">
        <v>0.30323904752731323</v>
      </c>
      <c r="G6" s="12">
        <v>5.5903615429997444E-3</v>
      </c>
      <c r="H6" s="12">
        <v>9.641563892364502E-2</v>
      </c>
      <c r="I6" s="12">
        <v>3.2326590735465288E-3</v>
      </c>
      <c r="J6" s="12">
        <v>0.43828058242797852</v>
      </c>
      <c r="K6" s="12">
        <v>6.5858280286192894E-3</v>
      </c>
      <c r="L6" s="12">
        <v>0.22354558110237122</v>
      </c>
      <c r="M6" s="12">
        <v>9.0409209951758385E-3</v>
      </c>
      <c r="N6" s="12">
        <v>0.37107008695602417</v>
      </c>
      <c r="O6" s="12">
        <v>4.350714385509491E-3</v>
      </c>
      <c r="P6" s="12">
        <v>0.12583604454994202</v>
      </c>
      <c r="Q6" s="12">
        <v>3.3910258207470179E-3</v>
      </c>
      <c r="R6" s="12">
        <v>0.57714897394180298</v>
      </c>
      <c r="S6" s="12">
        <v>3.0446695163846016E-3</v>
      </c>
      <c r="T6" s="12">
        <v>0.41170796751976013</v>
      </c>
      <c r="U6" s="12">
        <v>2.1506717894226313E-3</v>
      </c>
      <c r="W6" s="10">
        <f>(B6*'Employment Share'!B7+'Old Share by Employment'!D6*'Employment Share'!D7+'Old Share by Employment'!J6*'Employment Share'!J7+'Old Share by Employment'!L6*'Employment Share'!L7)/('Employment Share'!B7+'Employment Share'!D7+'Employment Share'!J7+'Employment Share'!L7)</f>
        <v>0.52052685045573688</v>
      </c>
      <c r="X6" s="11">
        <f>(J6*'Employment Share'!J7+'Old Share by Employment'!L6*'Employment Share'!L7)/('Employment Share'!J7+'Employment Share'!L7)</f>
        <v>0.3865916961294098</v>
      </c>
    </row>
    <row r="7" spans="1:24" x14ac:dyDescent="0.3">
      <c r="A7">
        <v>2007</v>
      </c>
      <c r="B7" s="12">
        <v>0.62997525930404663</v>
      </c>
      <c r="C7" s="12">
        <v>4.5454674400389194E-3</v>
      </c>
      <c r="D7" s="12">
        <v>0.55753868818283081</v>
      </c>
      <c r="E7" s="12">
        <v>6.108173169195652E-3</v>
      </c>
      <c r="F7" s="12">
        <v>0.31143316626548767</v>
      </c>
      <c r="G7" s="12">
        <v>5.7652681134641171E-3</v>
      </c>
      <c r="H7" s="12">
        <v>0.1067647784948349</v>
      </c>
      <c r="I7" s="12">
        <v>3.2692891545593739E-3</v>
      </c>
      <c r="J7" s="12">
        <v>0.47092932462692261</v>
      </c>
      <c r="K7" s="12">
        <v>5.8001130819320679E-3</v>
      </c>
      <c r="L7" s="12">
        <v>0.23832684755325317</v>
      </c>
      <c r="M7" s="12">
        <v>1.0837583802640438E-2</v>
      </c>
      <c r="N7" s="12">
        <v>0.39226430654525757</v>
      </c>
      <c r="O7" s="12">
        <v>4.2265974916517735E-3</v>
      </c>
      <c r="P7" s="12">
        <v>0.13579884171485901</v>
      </c>
      <c r="Q7" s="12">
        <v>3.4743696451187134E-3</v>
      </c>
      <c r="R7" s="12">
        <v>0.59862804412841797</v>
      </c>
      <c r="S7" s="12">
        <v>3.599212970584631E-3</v>
      </c>
      <c r="T7" s="12">
        <v>0.42128440737724304</v>
      </c>
      <c r="U7" s="12">
        <v>2.3563213180750608E-3</v>
      </c>
      <c r="W7" s="10">
        <f>(B7*'Employment Share'!B8+'Old Share by Employment'!D7*'Employment Share'!D8+'Old Share by Employment'!J7*'Employment Share'!J8+'Old Share by Employment'!L7*'Employment Share'!L8)/('Employment Share'!B8+'Employment Share'!D8+'Employment Share'!J8+'Employment Share'!L8)</f>
        <v>0.54090757975658166</v>
      </c>
      <c r="X7" s="11">
        <f>(J7*'Employment Share'!J8+'Old Share by Employment'!L7*'Employment Share'!L8)/('Employment Share'!J8+'Employment Share'!L8)</f>
        <v>0.41424677136158466</v>
      </c>
    </row>
    <row r="8" spans="1:24" x14ac:dyDescent="0.3">
      <c r="A8">
        <v>2008</v>
      </c>
      <c r="B8" s="12">
        <v>0.65814065933227539</v>
      </c>
      <c r="C8" s="12">
        <v>4.2362376116216183E-3</v>
      </c>
      <c r="D8" s="12">
        <v>0.57283258438110352</v>
      </c>
      <c r="E8" s="12">
        <v>6.29463791847229E-3</v>
      </c>
      <c r="F8" s="12">
        <v>0.32314282655715942</v>
      </c>
      <c r="G8" s="12">
        <v>5.6479591876268387E-3</v>
      </c>
      <c r="H8" s="12">
        <v>0.12429239600896835</v>
      </c>
      <c r="I8" s="12">
        <v>3.5859791096299887E-3</v>
      </c>
      <c r="J8" s="12">
        <v>0.48665466904640198</v>
      </c>
      <c r="K8" s="12">
        <v>5.7600191794335842E-3</v>
      </c>
      <c r="L8" s="12">
        <v>0.27658486366271973</v>
      </c>
      <c r="M8" s="12">
        <v>9.1644627973437309E-3</v>
      </c>
      <c r="N8" s="12">
        <v>0.40068334341049194</v>
      </c>
      <c r="O8" s="12">
        <v>4.2074760422110558E-3</v>
      </c>
      <c r="P8" s="12">
        <v>0.15448871254920959</v>
      </c>
      <c r="Q8" s="12">
        <v>3.4731484483927488E-3</v>
      </c>
      <c r="R8" s="12">
        <v>0.62005013227462769</v>
      </c>
      <c r="S8" s="12">
        <v>3.2186887692660093E-3</v>
      </c>
      <c r="T8" s="12">
        <v>0.43921291828155518</v>
      </c>
      <c r="U8" s="12">
        <v>2.1241696085780859E-3</v>
      </c>
      <c r="W8" s="10">
        <f>(B8*'Employment Share'!B9+'Old Share by Employment'!D8*'Employment Share'!D9+'Old Share by Employment'!J8*'Employment Share'!J9+'Old Share by Employment'!L8*'Employment Share'!L9)/('Employment Share'!B9+'Employment Share'!D9+'Employment Share'!J9+'Employment Share'!L9)</f>
        <v>0.56541078598800687</v>
      </c>
      <c r="X8" s="11">
        <f>(J8*'Employment Share'!J9+'Old Share by Employment'!L8*'Employment Share'!L9)/('Employment Share'!J9+'Employment Share'!L9)</f>
        <v>0.43569391759053722</v>
      </c>
    </row>
    <row r="9" spans="1:24" x14ac:dyDescent="0.3">
      <c r="A9">
        <v>2009</v>
      </c>
      <c r="B9" s="12">
        <v>0.68305408954620361</v>
      </c>
      <c r="C9" s="12">
        <v>4.9428939819335938E-3</v>
      </c>
      <c r="D9" s="12">
        <v>0.57866883277893066</v>
      </c>
      <c r="E9" s="12">
        <v>5.3985975682735443E-3</v>
      </c>
      <c r="F9" s="12">
        <v>0.33659765124320984</v>
      </c>
      <c r="G9" s="12">
        <v>5.3663584403693676E-3</v>
      </c>
      <c r="H9" s="12">
        <v>0.12236437201499939</v>
      </c>
      <c r="I9" s="12">
        <v>4.1447668336331844E-3</v>
      </c>
      <c r="J9" s="12">
        <v>0.48896995186805725</v>
      </c>
      <c r="K9" s="12">
        <v>6.8644280545413494E-3</v>
      </c>
      <c r="L9" s="12">
        <v>0.24700513482093811</v>
      </c>
      <c r="M9" s="12">
        <v>1.093718595802784E-2</v>
      </c>
      <c r="N9" s="12">
        <v>0.40457186102867126</v>
      </c>
      <c r="O9" s="12">
        <v>4.116695374250412E-3</v>
      </c>
      <c r="P9" s="12">
        <v>0.14468690752983093</v>
      </c>
      <c r="Q9" s="12">
        <v>3.1592738814651966E-3</v>
      </c>
      <c r="R9" s="12">
        <v>0.63499540090560913</v>
      </c>
      <c r="S9" s="12">
        <v>3.3017466776072979E-3</v>
      </c>
      <c r="T9" s="12">
        <v>0.44076249003410339</v>
      </c>
      <c r="U9" s="12">
        <v>2.5066952221095562E-3</v>
      </c>
      <c r="W9" s="10">
        <f>(B9*'Employment Share'!B10+'Old Share by Employment'!D9*'Employment Share'!D10+'Old Share by Employment'!J9*'Employment Share'!J10+'Old Share by Employment'!L9*'Employment Share'!L10)/('Employment Share'!B10+'Employment Share'!D10+'Employment Share'!J10+'Employment Share'!L10)</f>
        <v>0.57645971637944549</v>
      </c>
      <c r="X9" s="11">
        <f>(J9*'Employment Share'!J10+'Old Share by Employment'!L9*'Employment Share'!L10)/('Employment Share'!J10+'Employment Share'!L10)</f>
        <v>0.43249001262528375</v>
      </c>
    </row>
    <row r="10" spans="1:24" x14ac:dyDescent="0.3">
      <c r="A10">
        <v>2010</v>
      </c>
      <c r="B10" s="12">
        <v>0.70427721738815308</v>
      </c>
      <c r="C10" s="12">
        <v>5.1216636784374714E-3</v>
      </c>
      <c r="D10" s="12">
        <v>0.59099578857421875</v>
      </c>
      <c r="E10" s="12">
        <v>6.1065801419317722E-3</v>
      </c>
      <c r="F10" s="12">
        <v>0.33869388699531555</v>
      </c>
      <c r="G10" s="12">
        <v>5.8624227531254292E-3</v>
      </c>
      <c r="H10" s="12">
        <v>0.13766360282897949</v>
      </c>
      <c r="I10" s="12">
        <v>3.9106784388422966E-3</v>
      </c>
      <c r="J10" s="12">
        <v>0.51716941595077515</v>
      </c>
      <c r="K10" s="12">
        <v>7.364335935562849E-3</v>
      </c>
      <c r="L10" s="12">
        <v>0.26911315321922302</v>
      </c>
      <c r="M10" s="12">
        <v>1.0312088765203953E-2</v>
      </c>
      <c r="N10" s="12">
        <v>0.41442602872848511</v>
      </c>
      <c r="O10" s="12">
        <v>4.2257420718669891E-3</v>
      </c>
      <c r="P10" s="12">
        <v>0.15996870398521423</v>
      </c>
      <c r="Q10" s="12">
        <v>3.4643476828932762E-3</v>
      </c>
      <c r="R10" s="12">
        <v>0.65218156576156616</v>
      </c>
      <c r="S10" s="12">
        <v>3.4230106975883245E-3</v>
      </c>
      <c r="T10" s="12">
        <v>0.4512290358543396</v>
      </c>
      <c r="U10" s="12">
        <v>2.6245282497256994E-3</v>
      </c>
      <c r="W10" s="10">
        <f>(B10*'Employment Share'!B11+'Old Share by Employment'!D10*'Employment Share'!D11+'Old Share by Employment'!J10*'Employment Share'!J11+'Old Share by Employment'!L10*'Employment Share'!L11)/('Employment Share'!B11+'Employment Share'!D11+'Employment Share'!J11+'Employment Share'!L11)</f>
        <v>0.59644225971229059</v>
      </c>
      <c r="X10" s="11">
        <f>(J10*'Employment Share'!J11+'Old Share by Employment'!L10*'Employment Share'!L11)/('Employment Share'!J11+'Employment Share'!L11)</f>
        <v>0.45844193194898614</v>
      </c>
    </row>
    <row r="11" spans="1:24" x14ac:dyDescent="0.3">
      <c r="A11">
        <v>2011</v>
      </c>
      <c r="B11" s="12">
        <v>0.72100347280502319</v>
      </c>
      <c r="C11" s="12">
        <v>5.622341763228178E-3</v>
      </c>
      <c r="D11" s="12">
        <v>0.59883719682693481</v>
      </c>
      <c r="E11" s="12">
        <v>6.1136409640312195E-3</v>
      </c>
      <c r="F11" s="12">
        <v>0.33707541227340698</v>
      </c>
      <c r="G11" s="12">
        <v>6.1553819105029106E-3</v>
      </c>
      <c r="H11" s="12">
        <v>0.15165938436985016</v>
      </c>
      <c r="I11" s="12">
        <v>4.2216838337481022E-3</v>
      </c>
      <c r="J11" s="12">
        <v>0.53180915117263794</v>
      </c>
      <c r="K11" s="12">
        <v>7.1796230040490627E-3</v>
      </c>
      <c r="L11" s="12">
        <v>0.30246502161026001</v>
      </c>
      <c r="M11" s="12">
        <v>1.2901189737021923E-2</v>
      </c>
      <c r="N11" s="12">
        <v>0.41885122656822205</v>
      </c>
      <c r="O11" s="12">
        <v>5.0735333934426308E-3</v>
      </c>
      <c r="P11" s="12">
        <v>0.1761641800403595</v>
      </c>
      <c r="Q11" s="12">
        <v>4.3038022704422474E-3</v>
      </c>
      <c r="R11" s="12">
        <v>0.66512602567672729</v>
      </c>
      <c r="S11" s="12">
        <v>3.8344576023519039E-3</v>
      </c>
      <c r="T11" s="12">
        <v>0.46059778332710266</v>
      </c>
      <c r="U11" s="12">
        <v>2.1629962138831615E-3</v>
      </c>
      <c r="W11" s="10">
        <f>(B11*'Employment Share'!B12+'Old Share by Employment'!D11*'Employment Share'!D12+'Old Share by Employment'!J11*'Employment Share'!J12+'Old Share by Employment'!L11*'Employment Share'!L12)/('Employment Share'!B12+'Employment Share'!D12+'Employment Share'!J12+'Employment Share'!L12)</f>
        <v>0.61070547286328314</v>
      </c>
      <c r="X11" s="11">
        <f>(J11*'Employment Share'!J12+'Old Share by Employment'!L11*'Employment Share'!L12)/('Employment Share'!J12+'Employment Share'!L12)</f>
        <v>0.47909968532509428</v>
      </c>
    </row>
    <row r="12" spans="1:24" x14ac:dyDescent="0.3">
      <c r="A12">
        <v>2012</v>
      </c>
      <c r="B12" s="12">
        <v>0.72621643543243408</v>
      </c>
      <c r="C12" s="12">
        <v>5.0113978795707226E-3</v>
      </c>
      <c r="D12" s="12">
        <v>0.61702436208724976</v>
      </c>
      <c r="E12" s="12">
        <v>5.927765741944313E-3</v>
      </c>
      <c r="F12" s="12">
        <v>0.35041013360023499</v>
      </c>
      <c r="G12" s="12">
        <v>5.6984950788319111E-3</v>
      </c>
      <c r="H12" s="12">
        <v>0.16066263616085052</v>
      </c>
      <c r="I12" s="12">
        <v>4.5894044451415539E-3</v>
      </c>
      <c r="J12" s="12">
        <v>0.55248618125915527</v>
      </c>
      <c r="K12" s="12">
        <v>6.6070035099983215E-3</v>
      </c>
      <c r="L12" s="12">
        <v>0.30240792036056519</v>
      </c>
      <c r="M12" s="12">
        <v>1.2525968253612518E-2</v>
      </c>
      <c r="N12" s="12">
        <v>0.4320034384727478</v>
      </c>
      <c r="O12" s="12">
        <v>5.2589732222259045E-3</v>
      </c>
      <c r="P12" s="12">
        <v>0.18390804529190063</v>
      </c>
      <c r="Q12" s="12">
        <v>3.8371861446648836E-3</v>
      </c>
      <c r="R12" s="12">
        <v>0.67635643482208252</v>
      </c>
      <c r="S12" s="12">
        <v>3.7641073577105999E-3</v>
      </c>
      <c r="T12" s="12">
        <v>0.47018423676490784</v>
      </c>
      <c r="U12" s="12">
        <v>2.6668396312743425E-3</v>
      </c>
      <c r="W12" s="10">
        <f>(B12*'Employment Share'!B13+'Old Share by Employment'!D12*'Employment Share'!D13+'Old Share by Employment'!J12*'Employment Share'!J13+'Old Share by Employment'!L12*'Employment Share'!L13)/('Employment Share'!B13+'Employment Share'!D13+'Employment Share'!J13+'Employment Share'!L13)</f>
        <v>0.62425551380210065</v>
      </c>
      <c r="X12" s="11">
        <f>(J12*'Employment Share'!J13+'Old Share by Employment'!L12*'Employment Share'!L13)/('Employment Share'!J13+'Employment Share'!L13)</f>
        <v>0.49476952552814335</v>
      </c>
    </row>
    <row r="13" spans="1:24" x14ac:dyDescent="0.3">
      <c r="A13">
        <v>2013</v>
      </c>
      <c r="B13" s="12">
        <v>0.75450795888900757</v>
      </c>
      <c r="C13" s="12">
        <v>5.1426403224468231E-3</v>
      </c>
      <c r="D13" s="12">
        <v>0.63663756847381592</v>
      </c>
      <c r="E13" s="12">
        <v>5.452549085021019E-3</v>
      </c>
      <c r="F13" s="12">
        <v>0.36690351366996765</v>
      </c>
      <c r="G13" s="12">
        <v>5.979650653898716E-3</v>
      </c>
      <c r="H13" s="12">
        <v>0.17244513332843781</v>
      </c>
      <c r="I13" s="12">
        <v>4.084897693246603E-3</v>
      </c>
      <c r="J13" s="12">
        <v>0.56917446851730347</v>
      </c>
      <c r="K13" s="12">
        <v>7.2384108789265156E-3</v>
      </c>
      <c r="L13" s="12">
        <v>0.33509832620620728</v>
      </c>
      <c r="M13" s="12">
        <v>1.3497417792677879E-2</v>
      </c>
      <c r="N13" s="12">
        <v>0.44256266951560974</v>
      </c>
      <c r="O13" s="12">
        <v>4.6102455817162991E-3</v>
      </c>
      <c r="P13" s="12">
        <v>0.19651634991168976</v>
      </c>
      <c r="Q13" s="12">
        <v>3.8323276676237583E-3</v>
      </c>
      <c r="R13" s="12">
        <v>0.7001805305480957</v>
      </c>
      <c r="S13" s="12">
        <v>3.7465936038643122E-3</v>
      </c>
      <c r="T13" s="12">
        <v>0.48227131366729736</v>
      </c>
      <c r="U13" s="12">
        <v>2.6426261756569147E-3</v>
      </c>
      <c r="W13" s="10">
        <f>(B13*'Employment Share'!B14+'Old Share by Employment'!D13*'Employment Share'!D14+'Old Share by Employment'!J13*'Employment Share'!J14+'Old Share by Employment'!L13*'Employment Share'!L14)/('Employment Share'!B14+'Employment Share'!D14+'Employment Share'!J14+'Employment Share'!L14)</f>
        <v>0.64765884854161204</v>
      </c>
      <c r="X13" s="11">
        <f>(J13*'Employment Share'!J14+'Old Share by Employment'!L13*'Employment Share'!L14)/('Employment Share'!J14+'Employment Share'!L14)</f>
        <v>0.51483756652506307</v>
      </c>
    </row>
    <row r="14" spans="1:24" x14ac:dyDescent="0.3">
      <c r="A14">
        <v>2014</v>
      </c>
      <c r="B14" s="21">
        <v>0.75390315055847168</v>
      </c>
      <c r="C14" s="21">
        <v>5.3765405900776386E-3</v>
      </c>
      <c r="D14" s="21">
        <v>0.6415296196937561</v>
      </c>
      <c r="E14" s="21">
        <v>5.8544711209833622E-3</v>
      </c>
      <c r="F14" s="21">
        <v>0.37750738859176636</v>
      </c>
      <c r="G14" s="21">
        <v>6.1333929188549519E-3</v>
      </c>
      <c r="H14" s="21">
        <v>0.19063727557659149</v>
      </c>
      <c r="I14" s="21">
        <v>4.4810161925852299E-3</v>
      </c>
      <c r="J14" s="21">
        <v>0.59120458364486694</v>
      </c>
      <c r="K14" s="21">
        <v>6.3465014100074768E-3</v>
      </c>
      <c r="L14" s="21">
        <v>0.34171777963638306</v>
      </c>
      <c r="M14" s="21">
        <v>1.0656568221747875E-2</v>
      </c>
      <c r="N14" s="21">
        <v>0.45537519454956055</v>
      </c>
      <c r="O14" s="21">
        <v>3.2915584743022919E-3</v>
      </c>
      <c r="P14" s="21">
        <v>0.21466857194900513</v>
      </c>
      <c r="Q14" s="21">
        <v>3.7874486297369003E-3</v>
      </c>
      <c r="R14" s="21">
        <v>0.70260041952133179</v>
      </c>
      <c r="S14" s="21">
        <v>3.9272899739444256E-3</v>
      </c>
      <c r="T14" s="21">
        <v>0.48770540952682495</v>
      </c>
      <c r="U14" s="21">
        <v>2.5310697965323925E-3</v>
      </c>
      <c r="V14" s="21"/>
      <c r="W14" s="23">
        <f>(B14*'Employment Share'!B15+'Old Share by Employment'!D14*'Employment Share'!D15+'Old Share by Employment'!J14*'Employment Share'!J15+'Old Share by Employment'!L14*'Employment Share'!L15)/('Employment Share'!B15+'Employment Share'!D15+'Employment Share'!J15+'Employment Share'!L15)</f>
        <v>0.65049769729292695</v>
      </c>
      <c r="X14" s="21">
        <f>(J14*'Employment Share'!J15+'Old Share by Employment'!L14*'Employment Share'!L15)/('Employment Share'!J15+'Employment Share'!L15)</f>
        <v>0.52836185666415081</v>
      </c>
    </row>
    <row r="15" spans="1:24" x14ac:dyDescent="0.3">
      <c r="A15">
        <v>2015</v>
      </c>
      <c r="B15" s="21">
        <v>0.77407890558242798</v>
      </c>
      <c r="C15" s="21">
        <v>4.1619841940701008E-3</v>
      </c>
      <c r="D15" s="21">
        <v>0.65315884351730347</v>
      </c>
      <c r="E15" s="21">
        <v>4.806798417121172E-3</v>
      </c>
      <c r="F15" s="21">
        <v>0.38906681537628174</v>
      </c>
      <c r="G15" s="21">
        <v>4.824404139071703E-3</v>
      </c>
      <c r="H15" s="21">
        <v>0.19289453327655792</v>
      </c>
      <c r="I15" s="21">
        <v>4.4940151274204254E-3</v>
      </c>
      <c r="J15" s="21">
        <v>0.62252885103225708</v>
      </c>
      <c r="K15" s="21">
        <v>6.598268635571003E-3</v>
      </c>
      <c r="L15" s="21">
        <v>0.35131663084030151</v>
      </c>
      <c r="M15" s="21">
        <v>1.2085010297596455E-2</v>
      </c>
      <c r="N15" s="21">
        <v>0.47056287527084351</v>
      </c>
      <c r="O15" s="21">
        <v>4.1692880913615227E-3</v>
      </c>
      <c r="P15" s="21">
        <v>0.21759766340255737</v>
      </c>
      <c r="Q15" s="21">
        <v>3.9784396067261696E-3</v>
      </c>
      <c r="R15" s="21">
        <v>0.71880626678466797</v>
      </c>
      <c r="S15" s="21">
        <v>3.5878517664968967E-3</v>
      </c>
      <c r="T15" s="21">
        <v>0.49748855829238892</v>
      </c>
      <c r="U15" s="21">
        <v>2.6330035179853439E-3</v>
      </c>
      <c r="V15" s="21"/>
      <c r="W15" s="23">
        <f>(B15*'Employment Share'!B16+'Old Share by Employment'!D15*'Employment Share'!D16+'Old Share by Employment'!J15*'Employment Share'!J16+'Old Share by Employment'!L15*'Employment Share'!L16)/('Employment Share'!B16+'Employment Share'!D16+'Employment Share'!J16+'Employment Share'!L16)</f>
        <v>0.66967179177221758</v>
      </c>
      <c r="X15" s="21">
        <f>(J15*'Employment Share'!J16+'Old Share by Employment'!L15*'Employment Share'!L16)/('Employment Share'!J16+'Employment Share'!L16)</f>
        <v>0.5564022099546847</v>
      </c>
    </row>
    <row r="16" spans="1:24" x14ac:dyDescent="0.3">
      <c r="A16">
        <v>2016</v>
      </c>
      <c r="B16" s="21">
        <v>0.77406632900238037</v>
      </c>
      <c r="C16" s="21">
        <v>3.9228852838277817E-3</v>
      </c>
      <c r="D16" s="21">
        <v>0.67210769653320313</v>
      </c>
      <c r="E16" s="21">
        <v>5.4508410394191742E-3</v>
      </c>
      <c r="F16" s="21">
        <v>0.41035100817680359</v>
      </c>
      <c r="G16" s="21">
        <v>5.8444486930966377E-3</v>
      </c>
      <c r="H16" s="21">
        <v>0.1997826099395752</v>
      </c>
      <c r="I16" s="21">
        <v>3.8799524772912264E-3</v>
      </c>
      <c r="J16" s="21">
        <v>0.63449001312255859</v>
      </c>
      <c r="K16" s="21">
        <v>6.6039515659213066E-3</v>
      </c>
      <c r="L16" s="21">
        <v>0.36352279782295227</v>
      </c>
      <c r="M16" s="21">
        <v>1.0909316129982471E-2</v>
      </c>
      <c r="N16" s="21">
        <v>0.48518466949462891</v>
      </c>
      <c r="O16" s="21">
        <v>4.5993132516741753E-3</v>
      </c>
      <c r="P16" s="21">
        <v>0.22527569532394409</v>
      </c>
      <c r="Q16" s="21">
        <v>4.4730408117175102E-3</v>
      </c>
      <c r="R16" s="21">
        <v>0.72689938545227051</v>
      </c>
      <c r="S16" s="21">
        <v>3.6812634207308292E-3</v>
      </c>
      <c r="T16" s="21">
        <v>0.50309240818023682</v>
      </c>
      <c r="U16" s="21">
        <v>2.8322762809693813E-3</v>
      </c>
      <c r="V16" s="21"/>
      <c r="W16" s="23">
        <f>(B16*'Employment Share'!B17+'Old Share by Employment'!D16*'Employment Share'!D17+'Old Share by Employment'!J16*'Employment Share'!J17+'Old Share by Employment'!L16*'Employment Share'!L17)/('Employment Share'!B17+'Employment Share'!D17+'Employment Share'!J17+'Employment Share'!L17)</f>
        <v>0.68304694787890885</v>
      </c>
      <c r="X16" s="21">
        <f>(J16*'Employment Share'!J17+'Old Share by Employment'!L16*'Employment Share'!L17)/('Employment Share'!J17+'Employment Share'!L17)</f>
        <v>0.56707865782128586</v>
      </c>
    </row>
    <row r="17" spans="1:24" x14ac:dyDescent="0.3">
      <c r="A17">
        <v>2017</v>
      </c>
      <c r="B17" s="21">
        <v>0.79102122783660889</v>
      </c>
      <c r="C17" s="21">
        <v>4.1455747559666634E-3</v>
      </c>
      <c r="D17" s="21">
        <v>0.69542312622070313</v>
      </c>
      <c r="E17" s="21">
        <v>6.2941065989434719E-3</v>
      </c>
      <c r="F17" s="21">
        <v>0.41722002625465393</v>
      </c>
      <c r="G17" s="21">
        <v>4.6739489771425724E-3</v>
      </c>
      <c r="H17" s="21">
        <v>0.21358777582645416</v>
      </c>
      <c r="I17" s="21">
        <v>4.0161865763366222E-3</v>
      </c>
      <c r="J17" s="21">
        <v>0.66085916757583618</v>
      </c>
      <c r="K17" s="21">
        <v>5.8210268616676331E-3</v>
      </c>
      <c r="L17" s="21">
        <v>0.43967431783676147</v>
      </c>
      <c r="M17" s="21">
        <v>1.2659160420298576E-2</v>
      </c>
      <c r="N17" s="21">
        <v>0.49529635906219482</v>
      </c>
      <c r="O17" s="21">
        <v>5.4127168841660023E-3</v>
      </c>
      <c r="P17" s="21">
        <v>0.2447325736284256</v>
      </c>
      <c r="Q17" s="21">
        <v>4.6695633791387081E-3</v>
      </c>
      <c r="R17" s="21">
        <v>0.74651235342025757</v>
      </c>
      <c r="S17" s="21">
        <v>4.4828499667346478E-3</v>
      </c>
      <c r="T17" s="21">
        <v>0.51302921772003174</v>
      </c>
      <c r="U17" s="21">
        <v>2.2617639042437077E-3</v>
      </c>
      <c r="V17" s="21"/>
      <c r="W17" s="23">
        <f>(B17*'Employment Share'!B18+'Old Share by Employment'!D17*'Employment Share'!D18+'Old Share by Employment'!J17*'Employment Share'!J18+'Old Share by Employment'!L17*'Employment Share'!L18)/('Employment Share'!B18+'Employment Share'!D18+'Employment Share'!J18+'Employment Share'!L18)</f>
        <v>0.70907390969440465</v>
      </c>
      <c r="X17" s="21">
        <f>(J17*'Employment Share'!J18+'Old Share by Employment'!L17*'Employment Share'!L18)/('Employment Share'!J18+'Employment Share'!L18)</f>
        <v>0.60720595148144363</v>
      </c>
    </row>
    <row r="18" spans="1:24" x14ac:dyDescent="0.3">
      <c r="A18">
        <v>2018</v>
      </c>
      <c r="B18" s="33">
        <v>0.80709725618362427</v>
      </c>
      <c r="C18" s="33">
        <v>5.3542805835604668E-3</v>
      </c>
      <c r="D18" s="33">
        <v>0.7123839259147644</v>
      </c>
      <c r="E18" s="33">
        <v>5.4314560256898403E-3</v>
      </c>
      <c r="F18" s="33">
        <v>0.4343336820602417</v>
      </c>
      <c r="G18" s="33">
        <v>5.3770076483488083E-3</v>
      </c>
      <c r="H18" s="33">
        <v>0.24400407075881958</v>
      </c>
      <c r="I18" s="33">
        <v>4.6693049371242523E-3</v>
      </c>
      <c r="J18" s="33">
        <v>0.66504329442977905</v>
      </c>
      <c r="K18" s="33">
        <v>7.6733133755624294E-3</v>
      </c>
      <c r="L18" s="33">
        <v>0.45179739594459534</v>
      </c>
      <c r="M18" s="33">
        <v>1.2710506096482277E-2</v>
      </c>
      <c r="N18" s="33">
        <v>0.494985431432724</v>
      </c>
      <c r="O18" s="33">
        <v>3.6166145000606775E-3</v>
      </c>
      <c r="P18" s="33">
        <v>0.26801204681396484</v>
      </c>
      <c r="Q18" s="33">
        <v>3.8599881809204817E-3</v>
      </c>
      <c r="R18" s="33">
        <v>0.76179194450378418</v>
      </c>
      <c r="S18" s="33">
        <v>3.8037719205021858E-3</v>
      </c>
      <c r="T18" s="33">
        <v>0.52171784639358521</v>
      </c>
      <c r="U18" s="33">
        <v>2.4456747341901064E-3</v>
      </c>
      <c r="V18" s="33"/>
      <c r="W18" s="34">
        <f>(B18*'Employment Share'!B19+'Old Share by Employment'!D18*'Employment Share'!D19+'Old Share by Employment'!J18*'Employment Share'!J19+'Old Share by Employment'!L18*'Employment Share'!L19)/('Employment Share'!B19+'Employment Share'!D19+'Employment Share'!J19+'Employment Share'!L19)</f>
        <v>0.72106010895964601</v>
      </c>
      <c r="X18" s="33">
        <f>(J18*'Employment Share'!J19+'Old Share by Employment'!L18*'Employment Share'!L19)/('Employment Share'!J19+'Employment Share'!L19)</f>
        <v>0.61241032959674635</v>
      </c>
    </row>
    <row r="19" spans="1:24" x14ac:dyDescent="0.3">
      <c r="A19">
        <v>2019</v>
      </c>
      <c r="B19" s="21">
        <v>0.81721144914627075</v>
      </c>
      <c r="C19" s="21">
        <v>3.930720966309309E-3</v>
      </c>
      <c r="D19" s="21">
        <v>0.73664551973342896</v>
      </c>
      <c r="E19" s="21">
        <v>5.166082177311182E-3</v>
      </c>
      <c r="F19" s="21">
        <v>0.45491883158683777</v>
      </c>
      <c r="G19" s="21">
        <v>4.4962922111153603E-3</v>
      </c>
      <c r="H19" s="21">
        <v>0.2611309289932251</v>
      </c>
      <c r="I19" s="21">
        <v>3.8997794035822153E-3</v>
      </c>
      <c r="J19" s="21">
        <v>0.67942124605178833</v>
      </c>
      <c r="K19" s="21">
        <v>6.9431993179023266E-3</v>
      </c>
      <c r="L19" s="21">
        <v>0.49899598956108093</v>
      </c>
      <c r="M19" s="21">
        <v>1.6691569238901138E-2</v>
      </c>
      <c r="N19" s="21">
        <v>0.50727355480194092</v>
      </c>
      <c r="O19" s="21">
        <v>3.8607509341090918E-3</v>
      </c>
      <c r="P19" s="21">
        <v>0.28519260883331299</v>
      </c>
      <c r="Q19" s="21">
        <v>4.9147354438900948E-3</v>
      </c>
      <c r="R19" s="21">
        <v>0.77920705080032349</v>
      </c>
      <c r="S19" s="21">
        <v>3.8390823174268007E-3</v>
      </c>
      <c r="T19" s="21">
        <v>0.52561730146408081</v>
      </c>
      <c r="U19" s="21">
        <v>2.799497451633215E-3</v>
      </c>
      <c r="V19" s="21"/>
      <c r="W19" s="23"/>
      <c r="X19" s="21"/>
    </row>
    <row r="20" spans="1:24" x14ac:dyDescent="0.3">
      <c r="A20">
        <v>2020</v>
      </c>
      <c r="B20" s="21">
        <v>0.82278066873550415</v>
      </c>
      <c r="C20" s="21">
        <v>5.7215192355215549E-3</v>
      </c>
      <c r="D20" s="21">
        <v>0.74858856201171875</v>
      </c>
      <c r="E20" s="21">
        <v>6.532108411192894E-3</v>
      </c>
      <c r="F20" s="21">
        <v>0.4631064236164093</v>
      </c>
      <c r="G20" s="21">
        <v>4.2115254327654839E-3</v>
      </c>
      <c r="H20" s="21">
        <v>0.27542954683303833</v>
      </c>
      <c r="I20" s="21">
        <v>4.1960808448493481E-3</v>
      </c>
      <c r="J20" s="21">
        <v>0.70066386461257935</v>
      </c>
      <c r="K20" s="21">
        <v>6.7660938948392868E-3</v>
      </c>
      <c r="L20" s="21">
        <v>0.45027625560760498</v>
      </c>
      <c r="M20" s="21">
        <v>1.4142343774437904E-2</v>
      </c>
      <c r="N20" s="21">
        <v>0.51871997117996216</v>
      </c>
      <c r="O20" s="21">
        <v>3.6861817352473736E-3</v>
      </c>
      <c r="P20" s="21">
        <v>0.29501450061798096</v>
      </c>
      <c r="Q20" s="21">
        <v>4.0644137188792229E-3</v>
      </c>
      <c r="R20" s="21">
        <v>0.78713124990463257</v>
      </c>
      <c r="S20" s="21">
        <v>3.8185764569789171E-3</v>
      </c>
      <c r="T20" s="21">
        <v>0.53985756635665894</v>
      </c>
      <c r="U20" s="21">
        <v>2.4599658790975809E-3</v>
      </c>
      <c r="V20" s="21"/>
      <c r="W20" s="23"/>
      <c r="X20" s="21"/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U20"/>
  <sheetViews>
    <sheetView workbookViewId="0">
      <selection activeCell="G29" sqref="G29"/>
    </sheetView>
  </sheetViews>
  <sheetFormatPr defaultColWidth="8.77734375" defaultRowHeight="14.4" x14ac:dyDescent="0.3"/>
  <sheetData>
    <row r="2" spans="1:21" x14ac:dyDescent="0.3">
      <c r="B2" t="s">
        <v>20</v>
      </c>
      <c r="D2" t="s">
        <v>21</v>
      </c>
      <c r="F2" t="s">
        <v>5</v>
      </c>
      <c r="H2" t="s">
        <v>4</v>
      </c>
      <c r="J2" t="s">
        <v>22</v>
      </c>
      <c r="L2" t="s">
        <v>23</v>
      </c>
      <c r="N2" t="s">
        <v>24</v>
      </c>
      <c r="P2" t="s">
        <v>25</v>
      </c>
      <c r="R2" t="s">
        <v>26</v>
      </c>
      <c r="T2" t="s">
        <v>27</v>
      </c>
    </row>
    <row r="3" spans="1:21" x14ac:dyDescent="0.3">
      <c r="A3">
        <v>2003</v>
      </c>
    </row>
    <row r="4" spans="1:21" x14ac:dyDescent="0.3">
      <c r="A4">
        <v>2004</v>
      </c>
      <c r="B4" s="15">
        <v>0.39654988050460815</v>
      </c>
      <c r="C4" s="15">
        <v>4.1264328174293041E-3</v>
      </c>
      <c r="D4" s="15">
        <v>0.27095872163772583</v>
      </c>
      <c r="E4" s="15">
        <v>3.2915186602622271E-3</v>
      </c>
      <c r="F4" s="15">
        <v>0.1114036962389946</v>
      </c>
      <c r="G4" s="15">
        <v>2.301729517057538E-3</v>
      </c>
      <c r="H4" s="15">
        <v>3.0793206766247749E-2</v>
      </c>
      <c r="I4" s="15">
        <v>1.4445318374782801E-3</v>
      </c>
      <c r="J4" s="15">
        <v>0.16723988950252533</v>
      </c>
      <c r="K4" s="15">
        <v>3.2915186602622271E-3</v>
      </c>
      <c r="L4" s="15">
        <v>2.1066207438707352E-2</v>
      </c>
      <c r="M4" s="15">
        <v>1.1904018465429544E-3</v>
      </c>
      <c r="N4" s="15">
        <v>0.27864360809326172</v>
      </c>
      <c r="O4" s="15">
        <v>3.1419906299561262E-3</v>
      </c>
      <c r="P4" s="15">
        <v>5.3847808390855789E-2</v>
      </c>
      <c r="Q4" s="15">
        <v>1.6081786016002297E-3</v>
      </c>
      <c r="R4" s="15">
        <v>0.66750860214233398</v>
      </c>
      <c r="S4" s="15">
        <v>3.3465363085269928E-3</v>
      </c>
      <c r="T4" s="15">
        <v>0.40526178479194641</v>
      </c>
      <c r="U4" s="15">
        <v>2.2652288898825645E-3</v>
      </c>
    </row>
    <row r="5" spans="1:21" x14ac:dyDescent="0.3">
      <c r="A5">
        <v>2005</v>
      </c>
      <c r="B5" s="12">
        <v>0.39363116025924683</v>
      </c>
      <c r="C5" s="12">
        <v>3.434676444157958E-3</v>
      </c>
      <c r="D5" s="12">
        <v>0.26967900991439819</v>
      </c>
      <c r="E5" s="12">
        <v>3.2381571363657713E-3</v>
      </c>
      <c r="F5" s="12">
        <v>0.11168472468852997</v>
      </c>
      <c r="G5" s="12">
        <v>2.0204479806125164E-3</v>
      </c>
      <c r="H5" s="12">
        <v>3.2610919326543808E-2</v>
      </c>
      <c r="I5" s="12">
        <v>1.2191334972158074E-3</v>
      </c>
      <c r="J5" s="12">
        <v>0.16734819114208221</v>
      </c>
      <c r="K5" s="12">
        <v>3.2381571363657713E-3</v>
      </c>
      <c r="L5" s="12">
        <v>2.2081373259425163E-2</v>
      </c>
      <c r="M5" s="12">
        <v>1.1051833862438798E-3</v>
      </c>
      <c r="N5" s="12">
        <v>0.27903291583061218</v>
      </c>
      <c r="O5" s="12">
        <v>3.108268603682518E-3</v>
      </c>
      <c r="P5" s="12">
        <v>5.7656921446323395E-2</v>
      </c>
      <c r="Q5" s="12">
        <v>1.6065624076873064E-3</v>
      </c>
      <c r="R5" s="12">
        <v>0.66331017017364502</v>
      </c>
      <c r="S5" s="12">
        <v>3.2654493115842342E-3</v>
      </c>
      <c r="T5" s="12">
        <v>0.40805089473724365</v>
      </c>
      <c r="U5" s="12">
        <v>2.0559537224471569E-3</v>
      </c>
    </row>
    <row r="6" spans="1:21" x14ac:dyDescent="0.3">
      <c r="A6">
        <v>2006</v>
      </c>
      <c r="B6" s="12">
        <v>0.39158904552459717</v>
      </c>
      <c r="C6" s="12">
        <v>3.5931859165430069E-3</v>
      </c>
      <c r="D6" s="12">
        <v>0.26750066876411438</v>
      </c>
      <c r="E6" s="12">
        <v>3.261827165260911E-3</v>
      </c>
      <c r="F6" s="12">
        <v>0.11014106869697571</v>
      </c>
      <c r="G6" s="12">
        <v>2.2443050984293222E-3</v>
      </c>
      <c r="H6" s="12">
        <v>4.1096620261669159E-2</v>
      </c>
      <c r="I6" s="12">
        <v>1.5250998549163342E-3</v>
      </c>
      <c r="J6" s="12">
        <v>0.16066010296344757</v>
      </c>
      <c r="K6" s="12">
        <v>3.261827165260911E-3</v>
      </c>
      <c r="L6" s="12">
        <v>2.5978174060583115E-2</v>
      </c>
      <c r="M6" s="12">
        <v>1.1849163565784693E-3</v>
      </c>
      <c r="N6" s="12">
        <v>0.27080115675926208</v>
      </c>
      <c r="O6" s="12">
        <v>3.397864755243063E-3</v>
      </c>
      <c r="P6" s="12">
        <v>7.0109128952026367E-2</v>
      </c>
      <c r="Q6" s="12">
        <v>1.9313986413180828E-3</v>
      </c>
      <c r="R6" s="12">
        <v>0.65908968448638916</v>
      </c>
      <c r="S6" s="12">
        <v>3.2129341270774603E-3</v>
      </c>
      <c r="T6" s="12">
        <v>0.41170796751976013</v>
      </c>
      <c r="U6" s="12">
        <v>2.5103951338678598E-3</v>
      </c>
    </row>
    <row r="7" spans="1:21" x14ac:dyDescent="0.3">
      <c r="A7">
        <v>2007</v>
      </c>
      <c r="B7" s="12">
        <v>0.38001149892807007</v>
      </c>
      <c r="C7" s="12">
        <v>3.6194201093167067E-3</v>
      </c>
      <c r="D7" s="12">
        <v>0.25657668709754944</v>
      </c>
      <c r="E7" s="12">
        <v>3.5796023439615965E-3</v>
      </c>
      <c r="F7" s="12">
        <v>0.11108558624982834</v>
      </c>
      <c r="G7" s="12">
        <v>2.2212837357074022E-3</v>
      </c>
      <c r="H7" s="12">
        <v>4.7501437366008759E-2</v>
      </c>
      <c r="I7" s="12">
        <v>1.5402131248265505E-3</v>
      </c>
      <c r="J7" s="12">
        <v>0.17260195314884186</v>
      </c>
      <c r="K7" s="12">
        <v>3.5796023439615965E-3</v>
      </c>
      <c r="L7" s="12">
        <v>2.8144745156168938E-2</v>
      </c>
      <c r="M7" s="12">
        <v>1.2353959027677774E-3</v>
      </c>
      <c r="N7" s="12">
        <v>0.2836875319480896</v>
      </c>
      <c r="O7" s="12">
        <v>3.3296728506684303E-3</v>
      </c>
      <c r="P7" s="12">
        <v>7.9724296927452087E-2</v>
      </c>
      <c r="Q7" s="12">
        <v>1.7972432542592287E-3</v>
      </c>
      <c r="R7" s="12">
        <v>0.63658815622329712</v>
      </c>
      <c r="S7" s="12">
        <v>3.6569014191627502E-3</v>
      </c>
      <c r="T7" s="12">
        <v>0.42128440737724304</v>
      </c>
      <c r="U7" s="12">
        <v>2.3521317634731531E-3</v>
      </c>
    </row>
    <row r="8" spans="1:21" x14ac:dyDescent="0.3">
      <c r="A8">
        <v>2008</v>
      </c>
      <c r="B8" s="12">
        <v>0.37412813305854797</v>
      </c>
      <c r="C8" s="12">
        <v>3.3704519737511873E-3</v>
      </c>
      <c r="D8" s="12">
        <v>0.26268914341926575</v>
      </c>
      <c r="E8" s="12">
        <v>3.567154286429286E-3</v>
      </c>
      <c r="F8" s="12">
        <v>0.11739456653594971</v>
      </c>
      <c r="G8" s="12">
        <v>2.3028997238725424E-3</v>
      </c>
      <c r="H8" s="12">
        <v>5.4190363734960556E-2</v>
      </c>
      <c r="I8" s="12">
        <v>1.6454590950161219E-3</v>
      </c>
      <c r="J8" s="12">
        <v>0.15945917367935181</v>
      </c>
      <c r="K8" s="12">
        <v>3.567154286429286E-3</v>
      </c>
      <c r="L8" s="12">
        <v>2.9026718810200691E-2</v>
      </c>
      <c r="M8" s="12">
        <v>1.1955662630498409E-3</v>
      </c>
      <c r="N8" s="12">
        <v>0.27685374021530151</v>
      </c>
      <c r="O8" s="12">
        <v>3.0202718917280436E-3</v>
      </c>
      <c r="P8" s="12">
        <v>8.6329005658626556E-2</v>
      </c>
      <c r="Q8" s="12">
        <v>2.183928620070219E-3</v>
      </c>
      <c r="R8" s="12">
        <v>0.63681727647781372</v>
      </c>
      <c r="S8" s="12">
        <v>3.5782428458333015E-3</v>
      </c>
      <c r="T8" s="12">
        <v>0.43921291828155518</v>
      </c>
      <c r="U8" s="12">
        <v>2.6204320602118969E-3</v>
      </c>
    </row>
    <row r="9" spans="1:21" x14ac:dyDescent="0.3">
      <c r="A9">
        <v>2009</v>
      </c>
      <c r="B9" s="12">
        <v>0.36849796772003174</v>
      </c>
      <c r="C9" s="12">
        <v>4.046224057674408E-3</v>
      </c>
      <c r="D9" s="12">
        <v>0.26635995507240295</v>
      </c>
      <c r="E9" s="12">
        <v>3.2030127476900816E-3</v>
      </c>
      <c r="F9" s="12">
        <v>0.13023003935813904</v>
      </c>
      <c r="G9" s="12">
        <v>2.4707545526325703E-3</v>
      </c>
      <c r="H9" s="12">
        <v>5.5913396179676056E-2</v>
      </c>
      <c r="I9" s="12">
        <v>1.6309694619849324E-3</v>
      </c>
      <c r="J9" s="12">
        <v>0.15236806869506836</v>
      </c>
      <c r="K9" s="12">
        <v>3.2030127476900816E-3</v>
      </c>
      <c r="L9" s="12">
        <v>2.3437077179551125E-2</v>
      </c>
      <c r="M9" s="12">
        <v>1.0810865787789226E-3</v>
      </c>
      <c r="N9" s="12">
        <v>0.2825981080532074</v>
      </c>
      <c r="O9" s="12">
        <v>3.0938705895096064E-3</v>
      </c>
      <c r="P9" s="12">
        <v>8.2543976604938507E-2</v>
      </c>
      <c r="Q9" s="12">
        <v>1.9049166003242135E-3</v>
      </c>
      <c r="R9" s="12">
        <v>0.6348578929901123</v>
      </c>
      <c r="S9" s="12">
        <v>3.4591690637171268E-3</v>
      </c>
      <c r="T9" s="12">
        <v>0.44076249003410339</v>
      </c>
      <c r="U9" s="12">
        <v>2.4818151723593473E-3</v>
      </c>
    </row>
    <row r="10" spans="1:21" x14ac:dyDescent="0.3">
      <c r="A10">
        <v>2010</v>
      </c>
      <c r="B10" s="12">
        <v>0.36264288425445557</v>
      </c>
      <c r="C10" s="12">
        <v>3.3574879635125399E-3</v>
      </c>
      <c r="D10" s="12">
        <v>0.25910231471061707</v>
      </c>
      <c r="E10" s="12">
        <v>3.4640464000403881E-3</v>
      </c>
      <c r="F10" s="12">
        <v>0.13504321873188019</v>
      </c>
      <c r="G10" s="12">
        <v>2.4039945565164089E-3</v>
      </c>
      <c r="H10" s="12">
        <v>6.3339836895465851E-2</v>
      </c>
      <c r="I10" s="12">
        <v>1.8855262314900756E-3</v>
      </c>
      <c r="J10" s="12">
        <v>0.15199330449104309</v>
      </c>
      <c r="K10" s="12">
        <v>3.4640464000403881E-3</v>
      </c>
      <c r="L10" s="12">
        <v>2.4533035233616829E-2</v>
      </c>
      <c r="M10" s="12">
        <v>1.1116891400888562E-3</v>
      </c>
      <c r="N10" s="12">
        <v>0.28703650832176208</v>
      </c>
      <c r="O10" s="12">
        <v>3.323389682918787E-3</v>
      </c>
      <c r="P10" s="12">
        <v>9.1218285262584686E-2</v>
      </c>
      <c r="Q10" s="12">
        <v>2.2182234097272158E-3</v>
      </c>
      <c r="R10" s="12">
        <v>0.62174516916275024</v>
      </c>
      <c r="S10" s="12">
        <v>3.6207563243806362E-3</v>
      </c>
      <c r="T10" s="12">
        <v>0.4512290358543396</v>
      </c>
      <c r="U10" s="12">
        <v>2.296356251463294E-3</v>
      </c>
    </row>
    <row r="11" spans="1:21" x14ac:dyDescent="0.3">
      <c r="A11">
        <v>2011</v>
      </c>
      <c r="B11" s="12">
        <v>0.35897287726402283</v>
      </c>
      <c r="C11" s="12">
        <v>3.7204916588962078E-3</v>
      </c>
      <c r="D11" s="12">
        <v>0.25132167339324951</v>
      </c>
      <c r="E11" s="12">
        <v>3.0603932682424784E-3</v>
      </c>
      <c r="F11" s="12">
        <v>0.1360599547624588</v>
      </c>
      <c r="G11" s="12">
        <v>2.3961411789059639E-3</v>
      </c>
      <c r="H11" s="12">
        <v>6.8494744598865509E-2</v>
      </c>
      <c r="I11" s="12">
        <v>1.8491863738745451E-3</v>
      </c>
      <c r="J11" s="12">
        <v>0.15540580451488495</v>
      </c>
      <c r="K11" s="12">
        <v>3.0603932682424784E-3</v>
      </c>
      <c r="L11" s="12">
        <v>2.6375414803624153E-2</v>
      </c>
      <c r="M11" s="12">
        <v>1.2262203963473439E-3</v>
      </c>
      <c r="N11" s="12">
        <v>0.29146575927734375</v>
      </c>
      <c r="O11" s="12">
        <v>3.1554594170302153E-3</v>
      </c>
      <c r="P11" s="12">
        <v>9.8239704966545105E-2</v>
      </c>
      <c r="Q11" s="12">
        <v>2.4171033874154091E-3</v>
      </c>
      <c r="R11" s="12">
        <v>0.61029452085494995</v>
      </c>
      <c r="S11" s="12">
        <v>3.7964866496622562E-3</v>
      </c>
      <c r="T11" s="12">
        <v>0.46059778332710266</v>
      </c>
      <c r="U11" s="12">
        <v>2.5849773082882166E-3</v>
      </c>
    </row>
    <row r="12" spans="1:21" x14ac:dyDescent="0.3">
      <c r="A12">
        <v>2012</v>
      </c>
      <c r="B12" s="12">
        <v>0.35196807980537415</v>
      </c>
      <c r="C12" s="12">
        <v>3.425792558118701E-3</v>
      </c>
      <c r="D12" s="12">
        <v>0.2513052225112915</v>
      </c>
      <c r="E12" s="12">
        <v>3.2256860285997391E-3</v>
      </c>
      <c r="F12" s="12">
        <v>0.14284038543701172</v>
      </c>
      <c r="G12" s="12">
        <v>2.4707240518182516E-3</v>
      </c>
      <c r="H12" s="12">
        <v>7.1684166789054871E-2</v>
      </c>
      <c r="I12" s="12">
        <v>2.072308911010623E-3</v>
      </c>
      <c r="J12" s="12">
        <v>0.15251950919628143</v>
      </c>
      <c r="K12" s="12">
        <v>3.2256860285997391E-3</v>
      </c>
      <c r="L12" s="12">
        <v>2.5048395618796349E-2</v>
      </c>
      <c r="M12" s="12">
        <v>1.0417170124128461E-3</v>
      </c>
      <c r="N12" s="12">
        <v>0.29535987973213196</v>
      </c>
      <c r="O12" s="12">
        <v>3.1663575209677219E-3</v>
      </c>
      <c r="P12" s="12">
        <v>0.1013668105006218</v>
      </c>
      <c r="Q12" s="12">
        <v>2.2238173987716436E-3</v>
      </c>
      <c r="R12" s="12">
        <v>0.60327333211898804</v>
      </c>
      <c r="S12" s="12">
        <v>4.002841655164957E-3</v>
      </c>
      <c r="T12" s="12">
        <v>0.47018423676490784</v>
      </c>
      <c r="U12" s="12">
        <v>2.4702099617570639E-3</v>
      </c>
    </row>
    <row r="13" spans="1:21" x14ac:dyDescent="0.3">
      <c r="A13">
        <v>2013</v>
      </c>
      <c r="B13" s="12">
        <v>0.34263321757316589</v>
      </c>
      <c r="C13" s="12">
        <v>3.835044801235199E-3</v>
      </c>
      <c r="D13" s="12">
        <v>0.24717786908149719</v>
      </c>
      <c r="E13" s="12">
        <v>3.0261222273111343E-3</v>
      </c>
      <c r="F13" s="12">
        <v>0.15704509615898132</v>
      </c>
      <c r="G13" s="12">
        <v>2.9344584327191114E-3</v>
      </c>
      <c r="H13" s="12">
        <v>7.7674448490142822E-2</v>
      </c>
      <c r="I13" s="12">
        <v>1.8509203800931573E-3</v>
      </c>
      <c r="J13" s="12">
        <v>0.14558109641075134</v>
      </c>
      <c r="K13" s="12">
        <v>3.0261222273111343E-3</v>
      </c>
      <c r="L13" s="12">
        <v>2.5910979136824608E-2</v>
      </c>
      <c r="M13" s="12">
        <v>1.3117205817252398E-3</v>
      </c>
      <c r="N13" s="12">
        <v>0.30262619256973267</v>
      </c>
      <c r="O13" s="12">
        <v>3.9192670956254005E-3</v>
      </c>
      <c r="P13" s="12">
        <v>0.10756272822618484</v>
      </c>
      <c r="Q13" s="12">
        <v>2.6105577126145363E-3</v>
      </c>
      <c r="R13" s="12">
        <v>0.58981108665466309</v>
      </c>
      <c r="S13" s="12">
        <v>3.9719329215586185E-3</v>
      </c>
      <c r="T13" s="12">
        <v>0.48227131366729736</v>
      </c>
      <c r="U13" s="12">
        <v>2.8210082091391087E-3</v>
      </c>
    </row>
    <row r="14" spans="1:21" x14ac:dyDescent="0.3">
      <c r="A14">
        <v>2014</v>
      </c>
      <c r="B14" s="21">
        <v>0.32823121547698975</v>
      </c>
      <c r="C14" s="21">
        <v>3.5506316926330328E-3</v>
      </c>
      <c r="D14" s="21">
        <v>0.23463250696659088</v>
      </c>
      <c r="E14" s="21">
        <v>2.6700955349951982E-3</v>
      </c>
      <c r="F14" s="21">
        <v>0.16841898858547211</v>
      </c>
      <c r="G14" s="21">
        <v>2.643391489982605E-3</v>
      </c>
      <c r="H14" s="21">
        <v>8.5432052612304688E-2</v>
      </c>
      <c r="I14" s="21">
        <v>1.9110633293166757E-3</v>
      </c>
      <c r="J14" s="21">
        <v>0.15120543539524078</v>
      </c>
      <c r="K14" s="21">
        <v>2.6700955349951982E-3</v>
      </c>
      <c r="L14" s="21">
        <v>2.7238495647907257E-2</v>
      </c>
      <c r="M14" s="21">
        <v>1.0705214226618409E-3</v>
      </c>
      <c r="N14" s="21">
        <v>0.31962442398071289</v>
      </c>
      <c r="O14" s="21">
        <v>3.3915245439857244E-3</v>
      </c>
      <c r="P14" s="21">
        <v>0.11751186102628708</v>
      </c>
      <c r="Q14" s="21">
        <v>2.9005084652453661E-3</v>
      </c>
      <c r="R14" s="21">
        <v>0.56286370754241943</v>
      </c>
      <c r="S14" s="21">
        <v>3.7144988309592009E-3</v>
      </c>
      <c r="T14" s="21">
        <v>0.48770540952682495</v>
      </c>
      <c r="U14" s="21">
        <v>2.3314859718084335E-3</v>
      </c>
    </row>
    <row r="15" spans="1:21" x14ac:dyDescent="0.3">
      <c r="A15">
        <v>2015</v>
      </c>
      <c r="B15" s="21">
        <v>0.32497760653495789</v>
      </c>
      <c r="C15" s="21">
        <v>3.1935356091707945E-3</v>
      </c>
      <c r="D15" s="21">
        <v>0.23087635636329651</v>
      </c>
      <c r="E15" s="21">
        <v>3.0050743371248245E-3</v>
      </c>
      <c r="F15" s="21">
        <v>0.17522132396697998</v>
      </c>
      <c r="G15" s="21">
        <v>3.0478192493319511E-3</v>
      </c>
      <c r="H15" s="21">
        <v>8.6143441498279572E-2</v>
      </c>
      <c r="I15" s="21">
        <v>2.4754442274570465E-3</v>
      </c>
      <c r="J15" s="21">
        <v>0.15035313367843628</v>
      </c>
      <c r="K15" s="21">
        <v>3.0050743371248245E-3</v>
      </c>
      <c r="L15" s="21">
        <v>2.7205809950828552E-2</v>
      </c>
      <c r="M15" s="21">
        <v>1.1137200053781271E-3</v>
      </c>
      <c r="N15" s="21">
        <v>0.32557445764541626</v>
      </c>
      <c r="O15" s="21">
        <v>3.6816196516156197E-3</v>
      </c>
      <c r="P15" s="21">
        <v>0.11857157200574875</v>
      </c>
      <c r="Q15" s="21">
        <v>2.2337795235216618E-3</v>
      </c>
      <c r="R15" s="21">
        <v>0.55585396289825439</v>
      </c>
      <c r="S15" s="21">
        <v>3.1761736609041691E-3</v>
      </c>
      <c r="T15" s="21">
        <v>0.49748855829238892</v>
      </c>
      <c r="U15" s="21">
        <v>2.2085793316364288E-3</v>
      </c>
    </row>
    <row r="16" spans="1:21" x14ac:dyDescent="0.3">
      <c r="A16">
        <v>2016</v>
      </c>
      <c r="B16" s="21">
        <v>0.30758681893348694</v>
      </c>
      <c r="C16" s="21">
        <v>2.9192096553742886E-3</v>
      </c>
      <c r="D16" s="21">
        <v>0.22990645468235016</v>
      </c>
      <c r="E16" s="21">
        <v>2.8876126743853092E-3</v>
      </c>
      <c r="F16" s="21">
        <v>0.19067443907260895</v>
      </c>
      <c r="G16" s="21">
        <v>2.0237290300428867E-3</v>
      </c>
      <c r="H16" s="21">
        <v>9.0023018419742584E-2</v>
      </c>
      <c r="I16" s="21">
        <v>2.0426420960575342E-3</v>
      </c>
      <c r="J16" s="21">
        <v>0.1477690190076828</v>
      </c>
      <c r="K16" s="21">
        <v>2.8876126743853092E-3</v>
      </c>
      <c r="L16" s="21">
        <v>2.8505656868219376E-2</v>
      </c>
      <c r="M16" s="21">
        <v>1.197138917632401E-3</v>
      </c>
      <c r="N16" s="21">
        <v>0.33844345808029175</v>
      </c>
      <c r="O16" s="21">
        <v>2.9856502078473568E-3</v>
      </c>
      <c r="P16" s="21">
        <v>0.12406328320503235</v>
      </c>
      <c r="Q16" s="21">
        <v>2.3459168151021004E-3</v>
      </c>
      <c r="R16" s="21">
        <v>0.53749328851699829</v>
      </c>
      <c r="S16" s="21">
        <v>3.5535348579287529E-3</v>
      </c>
      <c r="T16" s="21">
        <v>0.50309240818023682</v>
      </c>
      <c r="U16" s="21">
        <v>2.0458721555769444E-3</v>
      </c>
    </row>
    <row r="17" spans="1:21" x14ac:dyDescent="0.3">
      <c r="A17">
        <v>2017</v>
      </c>
      <c r="B17" s="21">
        <v>0.29363220930099487</v>
      </c>
      <c r="C17" s="21">
        <v>3.0356741044670343E-3</v>
      </c>
      <c r="D17" s="21">
        <v>0.22489617764949799</v>
      </c>
      <c r="E17" s="21">
        <v>2.7128872461616993E-3</v>
      </c>
      <c r="F17" s="21">
        <v>0.19736982882022858</v>
      </c>
      <c r="G17" s="21">
        <v>2.6744888164103031E-3</v>
      </c>
      <c r="H17" s="21">
        <v>9.8924502730369568E-2</v>
      </c>
      <c r="I17" s="21">
        <v>2.0291528198868036E-3</v>
      </c>
      <c r="J17" s="21">
        <v>0.14742839336395264</v>
      </c>
      <c r="K17" s="21">
        <v>2.7128872461616993E-3</v>
      </c>
      <c r="L17" s="21">
        <v>3.1626023352146149E-2</v>
      </c>
      <c r="M17" s="21">
        <v>1.5336143551394343E-3</v>
      </c>
      <c r="N17" s="21">
        <v>0.34479820728302002</v>
      </c>
      <c r="O17" s="21">
        <v>3.7988352123647928E-3</v>
      </c>
      <c r="P17" s="21">
        <v>0.13667340576648712</v>
      </c>
      <c r="Q17" s="21">
        <v>2.344946376979351E-3</v>
      </c>
      <c r="R17" s="21">
        <v>0.51852840185165405</v>
      </c>
      <c r="S17" s="21">
        <v>3.5711666569113731E-3</v>
      </c>
      <c r="T17" s="21">
        <v>0.51302921772003174</v>
      </c>
      <c r="U17" s="21">
        <v>2.9241135343909264E-3</v>
      </c>
    </row>
    <row r="18" spans="1:21" x14ac:dyDescent="0.3">
      <c r="A18">
        <v>2018</v>
      </c>
      <c r="B18" s="33">
        <v>0.28044390678405762</v>
      </c>
      <c r="C18" s="33">
        <v>3.1393533572554588E-3</v>
      </c>
      <c r="D18" s="33">
        <v>0.22697903215885162</v>
      </c>
      <c r="E18" s="33">
        <v>2.8172833845019341E-3</v>
      </c>
      <c r="F18" s="33">
        <v>0.22199752926826477</v>
      </c>
      <c r="G18" s="33">
        <v>2.1473714150488377E-3</v>
      </c>
      <c r="H18" s="33">
        <v>0.11842170357704163</v>
      </c>
      <c r="I18" s="33">
        <v>2.332859905436635E-3</v>
      </c>
      <c r="J18" s="33">
        <v>0.12123304605484009</v>
      </c>
      <c r="K18" s="33">
        <v>2.8172833845019341E-3</v>
      </c>
      <c r="L18" s="33">
        <v>2.7274969965219498E-2</v>
      </c>
      <c r="M18" s="33">
        <v>1.0807750513777137E-3</v>
      </c>
      <c r="N18" s="33">
        <v>0.34323057532310486</v>
      </c>
      <c r="O18" s="33">
        <v>3.0041669961065054E-3</v>
      </c>
      <c r="P18" s="33">
        <v>0.1493464857339859</v>
      </c>
      <c r="Q18" s="33">
        <v>2.9736219439655542E-3</v>
      </c>
      <c r="R18" s="33">
        <v>0.50742292404174805</v>
      </c>
      <c r="S18" s="33">
        <v>3.4132290165871382E-3</v>
      </c>
      <c r="T18" s="33">
        <v>0.52171784639358521</v>
      </c>
      <c r="U18" s="33">
        <v>2.5644123088568449E-3</v>
      </c>
    </row>
    <row r="19" spans="1:21" x14ac:dyDescent="0.3">
      <c r="A19">
        <v>2019</v>
      </c>
      <c r="B19" s="21">
        <v>0.26157048344612122</v>
      </c>
      <c r="C19" s="21">
        <v>3.4966901876032352E-3</v>
      </c>
      <c r="D19" s="21">
        <v>0.21053755283355713</v>
      </c>
      <c r="E19" s="21">
        <v>2.6198124978691339E-3</v>
      </c>
      <c r="F19" s="21">
        <v>0.24833181500434875</v>
      </c>
      <c r="G19" s="21">
        <v>3.4426017664372921E-3</v>
      </c>
      <c r="H19" s="21">
        <v>0.13681738078594208</v>
      </c>
      <c r="I19" s="21">
        <v>2.9389001429080963E-3</v>
      </c>
      <c r="J19" s="21">
        <v>0.11279559880495071</v>
      </c>
      <c r="K19" s="21">
        <v>2.6198124978691339E-3</v>
      </c>
      <c r="L19" s="21">
        <v>2.6530720293521881E-2</v>
      </c>
      <c r="M19" s="21">
        <v>1.2077194405719638E-3</v>
      </c>
      <c r="N19" s="21">
        <v>0.36112743616104126</v>
      </c>
      <c r="O19" s="21">
        <v>3.6774547770619392E-3</v>
      </c>
      <c r="P19" s="21">
        <v>0.1667645275592804</v>
      </c>
      <c r="Q19" s="21">
        <v>3.0330291483551264E-3</v>
      </c>
      <c r="R19" s="21">
        <v>0.47210803627967834</v>
      </c>
      <c r="S19" s="21">
        <v>3.4877809230238199E-3</v>
      </c>
      <c r="T19" s="21">
        <v>0.52561730146408081</v>
      </c>
      <c r="U19" s="21">
        <v>2.8029803652316332E-3</v>
      </c>
    </row>
    <row r="20" spans="1:21" x14ac:dyDescent="0.3">
      <c r="A20">
        <v>2020</v>
      </c>
      <c r="B20" s="21">
        <v>0.25487816333770752</v>
      </c>
      <c r="C20" s="21">
        <v>3.0996240675449371E-3</v>
      </c>
      <c r="D20" s="21">
        <v>0.21448792517185211</v>
      </c>
      <c r="E20" s="21">
        <v>3.0069814529269934E-3</v>
      </c>
      <c r="F20" s="21">
        <v>0.25381660461425781</v>
      </c>
      <c r="G20" s="21">
        <v>3.3184671774506569E-3</v>
      </c>
      <c r="H20" s="21">
        <v>0.13208977878093719</v>
      </c>
      <c r="I20" s="21">
        <v>2.2675651125609875E-3</v>
      </c>
      <c r="J20" s="21">
        <v>0.11737943440675735</v>
      </c>
      <c r="K20" s="21">
        <v>3.0069814529269934E-3</v>
      </c>
      <c r="L20" s="21">
        <v>2.4719441309571266E-2</v>
      </c>
      <c r="M20" s="21">
        <v>9.5168367261067033E-4</v>
      </c>
      <c r="N20" s="21">
        <v>0.37119603157043457</v>
      </c>
      <c r="O20" s="21">
        <v>3.2703268807381392E-3</v>
      </c>
      <c r="P20" s="21">
        <v>0.1594378799200058</v>
      </c>
      <c r="Q20" s="21">
        <v>2.8245120774954557E-3</v>
      </c>
      <c r="R20" s="21">
        <v>0.46936610341072083</v>
      </c>
      <c r="S20" s="21">
        <v>2.9275405686348677E-3</v>
      </c>
      <c r="T20" s="21">
        <v>0.53985756635665894</v>
      </c>
      <c r="U20" s="21">
        <v>2.8612765017896891E-3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U20"/>
  <sheetViews>
    <sheetView workbookViewId="0">
      <selection activeCell="L27" sqref="L27"/>
    </sheetView>
  </sheetViews>
  <sheetFormatPr defaultColWidth="8.77734375" defaultRowHeight="14.4" x14ac:dyDescent="0.3"/>
  <sheetData>
    <row r="2" spans="1:21" x14ac:dyDescent="0.3">
      <c r="B2" t="s">
        <v>20</v>
      </c>
      <c r="D2" t="s">
        <v>21</v>
      </c>
      <c r="F2" t="s">
        <v>5</v>
      </c>
      <c r="H2" t="s">
        <v>4</v>
      </c>
      <c r="J2" t="s">
        <v>22</v>
      </c>
      <c r="L2" t="s">
        <v>23</v>
      </c>
      <c r="N2" t="s">
        <v>24</v>
      </c>
      <c r="P2" t="s">
        <v>25</v>
      </c>
      <c r="R2" t="s">
        <v>26</v>
      </c>
      <c r="T2" t="s">
        <v>27</v>
      </c>
    </row>
    <row r="3" spans="1:21" x14ac:dyDescent="0.3">
      <c r="A3">
        <v>2003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1:21" x14ac:dyDescent="0.3">
      <c r="A4">
        <v>2004</v>
      </c>
      <c r="B4" s="15">
        <v>0.19305698573589325</v>
      </c>
      <c r="C4" s="15">
        <v>2.4063321761786938E-3</v>
      </c>
      <c r="D4" s="15">
        <v>0.17720082402229309</v>
      </c>
      <c r="E4" s="15">
        <v>2.1896897815167904E-3</v>
      </c>
      <c r="F4" s="15">
        <v>0.17269665002822876</v>
      </c>
      <c r="G4" s="15">
        <v>2.2059225011616945E-3</v>
      </c>
      <c r="H4" s="15">
        <v>0.22967629134654999</v>
      </c>
      <c r="I4" s="15">
        <v>2.815926680341363E-3</v>
      </c>
      <c r="J4" s="15">
        <v>0.15332503616809845</v>
      </c>
      <c r="K4" s="15">
        <v>2.2488036192953587E-3</v>
      </c>
      <c r="L4" s="15">
        <v>6.6354185342788696E-2</v>
      </c>
      <c r="M4" s="15">
        <v>1.4083298156037927E-3</v>
      </c>
      <c r="N4" s="15">
        <v>0.32602167129516602</v>
      </c>
      <c r="O4" s="15">
        <v>3.0167780350893736E-3</v>
      </c>
      <c r="P4" s="15">
        <v>0.30372053384780884</v>
      </c>
      <c r="Q4" s="15">
        <v>2.7142774779349566E-3</v>
      </c>
      <c r="R4" s="15">
        <v>0.37025779485702515</v>
      </c>
      <c r="S4" s="15">
        <v>3.0331253074109554E-3</v>
      </c>
      <c r="T4" s="15">
        <v>0.59473824501037598</v>
      </c>
      <c r="U4" s="15">
        <v>2.2711376659572124E-3</v>
      </c>
    </row>
    <row r="5" spans="1:21" x14ac:dyDescent="0.3">
      <c r="A5">
        <v>2005</v>
      </c>
      <c r="B5" s="12">
        <v>0.19086712598800659</v>
      </c>
      <c r="C5" s="12">
        <v>2.6894286274909973E-3</v>
      </c>
      <c r="D5" s="12">
        <v>0.17194601893424988</v>
      </c>
      <c r="E5" s="12">
        <v>2.2529521957039833E-3</v>
      </c>
      <c r="F5" s="12">
        <v>0.17127655446529388</v>
      </c>
      <c r="G5" s="12">
        <v>2.1226466633379459E-3</v>
      </c>
      <c r="H5" s="12">
        <v>0.24223951995372772</v>
      </c>
      <c r="I5" s="12">
        <v>2.190758939832449E-3</v>
      </c>
      <c r="J5" s="12">
        <v>0.15189740061759949</v>
      </c>
      <c r="K5" s="12">
        <v>2.2034584544599056E-3</v>
      </c>
      <c r="L5" s="12">
        <v>6.398647278547287E-2</v>
      </c>
      <c r="M5" s="12">
        <v>1.4731867704540491E-3</v>
      </c>
      <c r="N5" s="12">
        <v>0.32317394018173218</v>
      </c>
      <c r="O5" s="12">
        <v>2.6304495986551046E-3</v>
      </c>
      <c r="P5" s="12">
        <v>0.31401288509368896</v>
      </c>
      <c r="Q5" s="12">
        <v>2.6354021392762661E-3</v>
      </c>
      <c r="R5" s="12">
        <v>0.36281314492225647</v>
      </c>
      <c r="S5" s="12">
        <v>2.8653971385210752E-3</v>
      </c>
      <c r="T5" s="12">
        <v>0.59194910526275635</v>
      </c>
      <c r="U5" s="12">
        <v>2.0146230235695839E-3</v>
      </c>
    </row>
    <row r="6" spans="1:21" x14ac:dyDescent="0.3">
      <c r="A6">
        <v>2006</v>
      </c>
      <c r="B6" s="12">
        <v>0.17789284884929657</v>
      </c>
      <c r="C6" s="12">
        <v>2.3937651421874762E-3</v>
      </c>
      <c r="D6" s="12">
        <v>0.16004768013954163</v>
      </c>
      <c r="E6" s="12">
        <v>2.020971616730094E-3</v>
      </c>
      <c r="F6" s="12">
        <v>0.17711049318313599</v>
      </c>
      <c r="G6" s="12">
        <v>2.5020001921802759E-3</v>
      </c>
      <c r="H6" s="12">
        <v>0.26954028010368347</v>
      </c>
      <c r="I6" s="12">
        <v>2.9701804742217064E-3</v>
      </c>
      <c r="J6" s="12">
        <v>0.14410252869129181</v>
      </c>
      <c r="K6" s="12">
        <v>2.054399810731411E-3</v>
      </c>
      <c r="L6" s="12">
        <v>6.3147306442260742E-2</v>
      </c>
      <c r="M6" s="12">
        <v>1.4774041483178735E-3</v>
      </c>
      <c r="N6" s="12">
        <v>0.32121303677558899</v>
      </c>
      <c r="O6" s="12">
        <v>2.6459230575710535E-3</v>
      </c>
      <c r="P6" s="12">
        <v>0.34084644913673401</v>
      </c>
      <c r="Q6" s="12">
        <v>2.8492310084402561E-3</v>
      </c>
      <c r="R6" s="12">
        <v>0.33794054388999939</v>
      </c>
      <c r="S6" s="12">
        <v>2.9822809156030416E-3</v>
      </c>
      <c r="T6" s="12">
        <v>0.58829200267791748</v>
      </c>
      <c r="U6" s="12">
        <v>2.3807177785784006E-3</v>
      </c>
    </row>
    <row r="7" spans="1:21" x14ac:dyDescent="0.3">
      <c r="A7">
        <v>2007</v>
      </c>
      <c r="B7" s="12">
        <v>0.16248536109924316</v>
      </c>
      <c r="C7" s="12">
        <v>2.5350642390549183E-3</v>
      </c>
      <c r="D7" s="12">
        <v>0.14822712540626526</v>
      </c>
      <c r="E7" s="12">
        <v>2.6013038586825132E-3</v>
      </c>
      <c r="F7" s="12">
        <v>0.17879244685173035</v>
      </c>
      <c r="G7" s="12">
        <v>2.54225661046803E-3</v>
      </c>
      <c r="H7" s="12">
        <v>0.2893042266368866</v>
      </c>
      <c r="I7" s="12">
        <v>2.9513647314161062E-3</v>
      </c>
      <c r="J7" s="12">
        <v>0.14116072654724121</v>
      </c>
      <c r="K7" s="12">
        <v>2.1489954087883234E-3</v>
      </c>
      <c r="L7" s="12">
        <v>6.5479174256324768E-2</v>
      </c>
      <c r="M7" s="12">
        <v>1.59807363525033E-3</v>
      </c>
      <c r="N7" s="12">
        <v>0.31995317339897156</v>
      </c>
      <c r="O7" s="12">
        <v>3.1309230253100395E-3</v>
      </c>
      <c r="P7" s="12">
        <v>0.36933434009552002</v>
      </c>
      <c r="Q7" s="12">
        <v>2.7440532576292753E-3</v>
      </c>
      <c r="R7" s="12">
        <v>0.31071248650550842</v>
      </c>
      <c r="S7" s="12">
        <v>3.0727863777428865E-3</v>
      </c>
      <c r="T7" s="12">
        <v>0.57871556282043457</v>
      </c>
      <c r="U7" s="12">
        <v>2.5014537386596203E-3</v>
      </c>
    </row>
    <row r="8" spans="1:21" x14ac:dyDescent="0.3">
      <c r="A8">
        <v>2008</v>
      </c>
      <c r="B8" s="12">
        <v>0.15220406651496887</v>
      </c>
      <c r="C8" s="12">
        <v>2.2010095417499542E-3</v>
      </c>
      <c r="D8" s="12">
        <v>0.15342269837856293</v>
      </c>
      <c r="E8" s="12">
        <v>2.2509249392896891E-3</v>
      </c>
      <c r="F8" s="12">
        <v>0.19258730113506317</v>
      </c>
      <c r="G8" s="12">
        <v>2.4737024214118719E-3</v>
      </c>
      <c r="H8" s="12">
        <v>0.29902929067611694</v>
      </c>
      <c r="I8" s="12">
        <v>2.9517868533730507E-3</v>
      </c>
      <c r="J8" s="12">
        <v>0.1317392885684967</v>
      </c>
      <c r="K8" s="12">
        <v>2.1754908375442028E-3</v>
      </c>
      <c r="L8" s="12">
        <v>5.9461276978254318E-2</v>
      </c>
      <c r="M8" s="12">
        <v>1.6415624413639307E-3</v>
      </c>
      <c r="N8" s="12">
        <v>0.32432660460472107</v>
      </c>
      <c r="O8" s="12">
        <v>3.0623080674558878E-3</v>
      </c>
      <c r="P8" s="12">
        <v>0.37004664540290833</v>
      </c>
      <c r="Q8" s="12">
        <v>2.8468137606978416E-3</v>
      </c>
      <c r="R8" s="12">
        <v>0.30562674999237061</v>
      </c>
      <c r="S8" s="12">
        <v>3.0994713306427002E-3</v>
      </c>
      <c r="T8" s="12">
        <v>0.56078708171844482</v>
      </c>
      <c r="U8" s="12">
        <v>2.9253161046653986E-3</v>
      </c>
    </row>
    <row r="9" spans="1:21" x14ac:dyDescent="0.3">
      <c r="A9">
        <v>2009</v>
      </c>
      <c r="B9" s="12">
        <v>0.13476388156414032</v>
      </c>
      <c r="C9" s="12">
        <v>2.105796942487359E-3</v>
      </c>
      <c r="D9" s="12">
        <v>0.15285183489322662</v>
      </c>
      <c r="E9" s="12">
        <v>2.2823181934654713E-3</v>
      </c>
      <c r="F9" s="12">
        <v>0.20229512453079224</v>
      </c>
      <c r="G9" s="12">
        <v>2.84362374804914E-3</v>
      </c>
      <c r="H9" s="12">
        <v>0.31607013940811157</v>
      </c>
      <c r="I9" s="12">
        <v>3.0618538148701191E-3</v>
      </c>
      <c r="J9" s="12">
        <v>0.12550659477710724</v>
      </c>
      <c r="K9" s="12">
        <v>1.9167879363521934E-3</v>
      </c>
      <c r="L9" s="12">
        <v>5.631159245967865E-2</v>
      </c>
      <c r="M9" s="12">
        <v>1.7549982294440269E-3</v>
      </c>
      <c r="N9" s="12">
        <v>0.32780170440673828</v>
      </c>
      <c r="O9" s="12">
        <v>2.8480340261012316E-3</v>
      </c>
      <c r="P9" s="12">
        <v>0.38458257913589478</v>
      </c>
      <c r="Q9" s="12">
        <v>2.8723499272018671E-3</v>
      </c>
      <c r="R9" s="12">
        <v>0.28761571645736694</v>
      </c>
      <c r="S9" s="12">
        <v>3.2853684388101101E-3</v>
      </c>
      <c r="T9" s="12">
        <v>0.55923753976821899</v>
      </c>
      <c r="U9" s="12">
        <v>2.7065335307270288E-3</v>
      </c>
    </row>
    <row r="10" spans="1:21" x14ac:dyDescent="0.3">
      <c r="A10">
        <v>2010</v>
      </c>
      <c r="B10" s="12">
        <v>0.12520630657672882</v>
      </c>
      <c r="C10" s="12">
        <v>2.1571640390902758E-3</v>
      </c>
      <c r="D10" s="12">
        <v>0.14744177460670471</v>
      </c>
      <c r="E10" s="12">
        <v>2.4965866468846798E-3</v>
      </c>
      <c r="F10" s="12">
        <v>0.21680726110935211</v>
      </c>
      <c r="G10" s="12">
        <v>3.0260970816016197E-3</v>
      </c>
      <c r="H10" s="12">
        <v>0.32624244689941406</v>
      </c>
      <c r="I10" s="12">
        <v>3.2534338533878326E-3</v>
      </c>
      <c r="J10" s="12">
        <v>0.11667889356613159</v>
      </c>
      <c r="K10" s="12">
        <v>2.4671654682606459E-3</v>
      </c>
      <c r="L10" s="12">
        <v>5.4786354303359985E-2</v>
      </c>
      <c r="M10" s="12">
        <v>1.3934834860265255E-3</v>
      </c>
      <c r="N10" s="12">
        <v>0.33348613977432251</v>
      </c>
      <c r="O10" s="12">
        <v>3.3089041244238615E-3</v>
      </c>
      <c r="P10" s="12">
        <v>0.39386576414108276</v>
      </c>
      <c r="Q10" s="12">
        <v>3.1598336063325405E-3</v>
      </c>
      <c r="R10" s="12">
        <v>0.27264809608459473</v>
      </c>
      <c r="S10" s="12">
        <v>2.9877771157771349E-3</v>
      </c>
      <c r="T10" s="12">
        <v>0.5487709641456604</v>
      </c>
      <c r="U10" s="12">
        <v>2.4502784945070744E-3</v>
      </c>
    </row>
    <row r="11" spans="1:21" x14ac:dyDescent="0.3">
      <c r="A11">
        <v>2011</v>
      </c>
      <c r="B11" s="12">
        <v>0.11861295998096466</v>
      </c>
      <c r="C11" s="12">
        <v>2.3487552534788847E-3</v>
      </c>
      <c r="D11" s="12">
        <v>0.14376425743103027</v>
      </c>
      <c r="E11" s="12">
        <v>2.0326259545981884E-3</v>
      </c>
      <c r="F11" s="12">
        <v>0.22849489748477936</v>
      </c>
      <c r="G11" s="12">
        <v>3.0078249983489513E-3</v>
      </c>
      <c r="H11" s="12">
        <v>0.3271653950214386</v>
      </c>
      <c r="I11" s="12">
        <v>3.3815416973084211E-3</v>
      </c>
      <c r="J11" s="12">
        <v>0.11682706326246262</v>
      </c>
      <c r="K11" s="12">
        <v>2.0438588690012693E-3</v>
      </c>
      <c r="L11" s="12">
        <v>5.1939677447080612E-2</v>
      </c>
      <c r="M11" s="12">
        <v>1.4225195627659559E-3</v>
      </c>
      <c r="N11" s="12">
        <v>0.34532195329666138</v>
      </c>
      <c r="O11" s="12">
        <v>3.1721501145511866E-3</v>
      </c>
      <c r="P11" s="12">
        <v>0.3923008143901825</v>
      </c>
      <c r="Q11" s="12">
        <v>3.40468087233603E-3</v>
      </c>
      <c r="R11" s="12">
        <v>0.26237723231315613</v>
      </c>
      <c r="S11" s="12">
        <v>2.991383895277977E-3</v>
      </c>
      <c r="T11" s="12">
        <v>0.53940218687057495</v>
      </c>
      <c r="U11" s="12">
        <v>2.4214894510805607E-3</v>
      </c>
    </row>
    <row r="12" spans="1:21" x14ac:dyDescent="0.3">
      <c r="A12">
        <v>2012</v>
      </c>
      <c r="B12" s="12">
        <v>0.11775729805231094</v>
      </c>
      <c r="C12" s="12">
        <v>2.3221932351589203E-3</v>
      </c>
      <c r="D12" s="12">
        <v>0.13842469453811646</v>
      </c>
      <c r="E12" s="12">
        <v>2.2951154969632626E-3</v>
      </c>
      <c r="F12" s="12">
        <v>0.23499400913715363</v>
      </c>
      <c r="G12" s="12">
        <v>2.9465572442859411E-3</v>
      </c>
      <c r="H12" s="12">
        <v>0.33234420418739319</v>
      </c>
      <c r="I12" s="12">
        <v>3.2777206506580114E-3</v>
      </c>
      <c r="J12" s="12">
        <v>0.1096361055970192</v>
      </c>
      <c r="K12" s="12">
        <v>2.422192832455039E-3</v>
      </c>
      <c r="L12" s="12">
        <v>5.1278047263622284E-2</v>
      </c>
      <c r="M12" s="12">
        <v>1.4597425470128655E-3</v>
      </c>
      <c r="N12" s="12">
        <v>0.34463012218475342</v>
      </c>
      <c r="O12" s="12">
        <v>3.3503791783004999E-3</v>
      </c>
      <c r="P12" s="12">
        <v>0.39918789267539978</v>
      </c>
      <c r="Q12" s="12">
        <v>3.8897607009857893E-3</v>
      </c>
      <c r="R12" s="12">
        <v>0.2561819851398468</v>
      </c>
      <c r="S12" s="12">
        <v>2.9273694381117821E-3</v>
      </c>
      <c r="T12" s="12">
        <v>0.52981573343276978</v>
      </c>
      <c r="U12" s="12">
        <v>2.6089751627296209E-3</v>
      </c>
    </row>
    <row r="13" spans="1:21" x14ac:dyDescent="0.3">
      <c r="A13">
        <v>2013</v>
      </c>
      <c r="B13" s="12">
        <v>0.10384657233953476</v>
      </c>
      <c r="C13" s="12">
        <v>2.2947138641029596E-3</v>
      </c>
      <c r="D13" s="12">
        <v>0.13141550123691559</v>
      </c>
      <c r="E13" s="12">
        <v>2.5231193285435438E-3</v>
      </c>
      <c r="F13" s="12">
        <v>0.25242453813552856</v>
      </c>
      <c r="G13" s="12">
        <v>3.0599830206483603E-3</v>
      </c>
      <c r="H13" s="12">
        <v>0.34722676873207092</v>
      </c>
      <c r="I13" s="12">
        <v>3.5998506937175989E-3</v>
      </c>
      <c r="J13" s="12">
        <v>0.10264792293310165</v>
      </c>
      <c r="K13" s="12">
        <v>2.1145867649465799E-3</v>
      </c>
      <c r="L13" s="12">
        <v>4.7891467809677124E-2</v>
      </c>
      <c r="M13" s="12">
        <v>1.4014889020472765E-3</v>
      </c>
      <c r="N13" s="12">
        <v>0.35507246851921082</v>
      </c>
      <c r="O13" s="12">
        <v>3.3951143268495798E-3</v>
      </c>
      <c r="P13" s="12">
        <v>0.40966546535491943</v>
      </c>
      <c r="Q13" s="12">
        <v>3.8607704918831587E-3</v>
      </c>
      <c r="R13" s="12">
        <v>0.23526206612586975</v>
      </c>
      <c r="S13" s="12">
        <v>3.0400091782212257E-3</v>
      </c>
      <c r="T13" s="12">
        <v>0.51772868633270264</v>
      </c>
      <c r="U13" s="12">
        <v>2.9035971965640783E-3</v>
      </c>
    </row>
    <row r="14" spans="1:21" x14ac:dyDescent="0.3">
      <c r="A14">
        <v>2014</v>
      </c>
      <c r="B14" s="21">
        <v>0.1020018607378006</v>
      </c>
      <c r="C14" s="21">
        <v>1.8960717134177685E-3</v>
      </c>
      <c r="D14" s="21">
        <v>0.12481378018856049</v>
      </c>
      <c r="E14" s="21">
        <v>2.3007022682577372E-3</v>
      </c>
      <c r="F14" s="21">
        <v>0.26438546180725098</v>
      </c>
      <c r="G14" s="21">
        <v>3.2480687368661165E-3</v>
      </c>
      <c r="H14" s="21">
        <v>0.34529796242713928</v>
      </c>
      <c r="I14" s="21">
        <v>3.6987499333918095E-3</v>
      </c>
      <c r="J14" s="21">
        <v>9.9534451961517334E-2</v>
      </c>
      <c r="K14" s="21">
        <v>1.9977742340415716E-3</v>
      </c>
      <c r="L14" s="21">
        <v>4.9953445792198181E-2</v>
      </c>
      <c r="M14" s="21">
        <v>1.3508880510926247E-3</v>
      </c>
      <c r="N14" s="21">
        <v>0.36391991376876831</v>
      </c>
      <c r="O14" s="21">
        <v>3.3543901517987251E-3</v>
      </c>
      <c r="P14" s="21">
        <v>0.40926444530487061</v>
      </c>
      <c r="Q14" s="21">
        <v>3.5761124454438686E-3</v>
      </c>
      <c r="R14" s="21">
        <v>0.22681564092636108</v>
      </c>
      <c r="S14" s="21">
        <v>3.3443507272750139E-3</v>
      </c>
      <c r="T14" s="21">
        <v>0.51229459047317505</v>
      </c>
      <c r="U14" s="21">
        <v>2.5398361030966043E-3</v>
      </c>
    </row>
    <row r="15" spans="1:21" x14ac:dyDescent="0.3">
      <c r="A15">
        <v>2015</v>
      </c>
      <c r="B15" s="21">
        <v>9.3899257481098175E-2</v>
      </c>
      <c r="C15" s="21">
        <v>1.9063209183514118E-3</v>
      </c>
      <c r="D15" s="21">
        <v>0.12137476354837418</v>
      </c>
      <c r="E15" s="21">
        <v>2.200752729550004E-3</v>
      </c>
      <c r="F15" s="21">
        <v>0.27239155769348145</v>
      </c>
      <c r="G15" s="21">
        <v>2.9517761431634426E-3</v>
      </c>
      <c r="H15" s="21">
        <v>0.35683688521385193</v>
      </c>
      <c r="I15" s="21">
        <v>3.0060559511184692E-3</v>
      </c>
      <c r="J15" s="21">
        <v>9.0255551040172577E-2</v>
      </c>
      <c r="K15" s="21">
        <v>2.0219241268932819E-3</v>
      </c>
      <c r="L15" s="21">
        <v>4.9731645733118057E-2</v>
      </c>
      <c r="M15" s="21">
        <v>1.6667853342369199E-3</v>
      </c>
      <c r="N15" s="21">
        <v>0.36264711618423462</v>
      </c>
      <c r="O15" s="21">
        <v>2.7896799147129059E-3</v>
      </c>
      <c r="P15" s="21">
        <v>0.42207887768745422</v>
      </c>
      <c r="Q15" s="21">
        <v>3.5730001982301474E-3</v>
      </c>
      <c r="R15" s="21">
        <v>0.21527402102947235</v>
      </c>
      <c r="S15" s="21">
        <v>3.5257667768746614E-3</v>
      </c>
      <c r="T15" s="21">
        <v>0.50251144170761108</v>
      </c>
      <c r="U15" s="21">
        <v>2.7729328721761703E-3</v>
      </c>
    </row>
    <row r="16" spans="1:21" x14ac:dyDescent="0.3">
      <c r="A16">
        <v>2016</v>
      </c>
      <c r="B16" s="21">
        <v>9.0895563364028931E-2</v>
      </c>
      <c r="C16" s="21">
        <v>1.9036494195461273E-3</v>
      </c>
      <c r="D16" s="21">
        <v>0.11355747282505035</v>
      </c>
      <c r="E16" s="21">
        <v>2.4708171840757132E-3</v>
      </c>
      <c r="F16" s="21">
        <v>0.27739760279655457</v>
      </c>
      <c r="G16" s="21">
        <v>3.017334034666419E-3</v>
      </c>
      <c r="H16" s="21">
        <v>0.3650699257850647</v>
      </c>
      <c r="I16" s="21">
        <v>3.7221473176032305E-3</v>
      </c>
      <c r="J16" s="21">
        <v>8.6184665560722351E-2</v>
      </c>
      <c r="K16" s="21">
        <v>2.4507611524313688E-3</v>
      </c>
      <c r="L16" s="21">
        <v>5.0530597567558289E-2</v>
      </c>
      <c r="M16" s="21">
        <v>1.6020050970837474E-3</v>
      </c>
      <c r="N16" s="21">
        <v>0.36358225345611572</v>
      </c>
      <c r="O16" s="21">
        <v>4.1081751696765423E-3</v>
      </c>
      <c r="P16" s="21">
        <v>0.4319646954536438</v>
      </c>
      <c r="Q16" s="21">
        <v>3.6157506983727217E-3</v>
      </c>
      <c r="R16" s="21">
        <v>0.20445303618907928</v>
      </c>
      <c r="S16" s="21">
        <v>2.5680523831397295E-3</v>
      </c>
      <c r="T16" s="21">
        <v>0.4969075620174408</v>
      </c>
      <c r="U16" s="21">
        <v>2.3513904307037592E-3</v>
      </c>
    </row>
    <row r="17" spans="1:21" x14ac:dyDescent="0.3">
      <c r="A17">
        <v>2017</v>
      </c>
      <c r="B17" s="21">
        <v>8.1725373864173889E-2</v>
      </c>
      <c r="C17" s="21">
        <v>2.1188152022659779E-3</v>
      </c>
      <c r="D17" s="21">
        <v>0.10376935452222824</v>
      </c>
      <c r="E17" s="21">
        <v>2.01212870888412E-3</v>
      </c>
      <c r="F17" s="21">
        <v>0.29044198989868164</v>
      </c>
      <c r="G17" s="21">
        <v>3.6429169122129679E-3</v>
      </c>
      <c r="H17" s="21">
        <v>0.38372224569320679</v>
      </c>
      <c r="I17" s="21">
        <v>3.5391412675380707E-3</v>
      </c>
      <c r="J17" s="21">
        <v>7.9706080257892609E-2</v>
      </c>
      <c r="K17" s="21">
        <v>1.8986212089657784E-3</v>
      </c>
      <c r="L17" s="21">
        <v>4.2461298406124115E-2</v>
      </c>
      <c r="M17" s="21">
        <v>1.465741079300642E-3</v>
      </c>
      <c r="N17" s="21">
        <v>0.37014809250831604</v>
      </c>
      <c r="O17" s="21">
        <v>4.0720477700233459E-3</v>
      </c>
      <c r="P17" s="21">
        <v>0.44435718655586243</v>
      </c>
      <c r="Q17" s="21">
        <v>4.39471285790205E-3</v>
      </c>
      <c r="R17" s="21">
        <v>0.18549472093582153</v>
      </c>
      <c r="S17" s="21">
        <v>2.9023091774433851E-3</v>
      </c>
      <c r="T17" s="21">
        <v>0.48697078227996826</v>
      </c>
      <c r="U17" s="21">
        <v>2.2288158070296049E-3</v>
      </c>
    </row>
    <row r="18" spans="1:21" x14ac:dyDescent="0.3">
      <c r="A18">
        <v>2018</v>
      </c>
      <c r="B18" s="33">
        <v>7.3115617036819458E-2</v>
      </c>
      <c r="C18" s="33">
        <v>2.400512807071209E-3</v>
      </c>
      <c r="D18" s="33">
        <v>9.9962338805198669E-2</v>
      </c>
      <c r="E18" s="33">
        <v>2.0139708649367094E-3</v>
      </c>
      <c r="F18" s="33">
        <v>0.31538170576095581</v>
      </c>
      <c r="G18" s="33">
        <v>3.3848104067146778E-3</v>
      </c>
      <c r="H18" s="33">
        <v>0.40022596716880798</v>
      </c>
      <c r="I18" s="33">
        <v>3.6465914454311132E-3</v>
      </c>
      <c r="J18" s="33">
        <v>6.6605694591999054E-2</v>
      </c>
      <c r="K18" s="33">
        <v>2.1314371842890978E-3</v>
      </c>
      <c r="L18" s="33">
        <v>3.6100499331951141E-2</v>
      </c>
      <c r="M18" s="33">
        <v>1.2164583895355463E-3</v>
      </c>
      <c r="N18" s="33">
        <v>0.38198742270469666</v>
      </c>
      <c r="O18" s="33">
        <v>3.6731068976223469E-3</v>
      </c>
      <c r="P18" s="33">
        <v>0.44493463635444641</v>
      </c>
      <c r="Q18" s="33">
        <v>4.3862992897629738E-3</v>
      </c>
      <c r="R18" s="33">
        <v>0.17307795584201813</v>
      </c>
      <c r="S18" s="33">
        <v>3.3776727505028248E-3</v>
      </c>
      <c r="T18" s="33">
        <v>0.47828212380409241</v>
      </c>
      <c r="U18" s="33">
        <v>2.6450050063431263E-3</v>
      </c>
    </row>
    <row r="19" spans="1:21" x14ac:dyDescent="0.3">
      <c r="A19">
        <v>2019</v>
      </c>
      <c r="B19" s="21">
        <v>6.482522189617157E-2</v>
      </c>
      <c r="C19" s="21">
        <v>1.7035822384059429E-3</v>
      </c>
      <c r="D19" s="21">
        <v>8.3397410809993744E-2</v>
      </c>
      <c r="E19" s="21">
        <v>2.1850841585546732E-3</v>
      </c>
      <c r="F19" s="21">
        <v>0.32968592643737793</v>
      </c>
      <c r="G19" s="21">
        <v>2.9595338273793459E-3</v>
      </c>
      <c r="H19" s="21">
        <v>0.42893475294113159</v>
      </c>
      <c r="I19" s="21">
        <v>3.741229185834527E-3</v>
      </c>
      <c r="J19" s="21">
        <v>5.8969657868146896E-2</v>
      </c>
      <c r="K19" s="21">
        <v>1.7459320370107889E-3</v>
      </c>
      <c r="L19" s="21">
        <v>2.9514402151107788E-2</v>
      </c>
      <c r="M19" s="21">
        <v>1.4604853931814432E-3</v>
      </c>
      <c r="N19" s="21">
        <v>0.38865557312965393</v>
      </c>
      <c r="O19" s="21">
        <v>3.5383901558816433E-3</v>
      </c>
      <c r="P19" s="21">
        <v>0.46312177181243896</v>
      </c>
      <c r="Q19" s="21">
        <v>4.1651437059044838E-3</v>
      </c>
      <c r="R19" s="21">
        <v>0.14822262525558472</v>
      </c>
      <c r="S19" s="21">
        <v>3.2257346902042627E-3</v>
      </c>
      <c r="T19" s="21">
        <v>0.47438272833824158</v>
      </c>
      <c r="U19" s="21">
        <v>2.5772808585315943E-3</v>
      </c>
    </row>
    <row r="20" spans="1:21" x14ac:dyDescent="0.3">
      <c r="A20">
        <v>2020</v>
      </c>
      <c r="B20" s="21">
        <v>6.4408987760543823E-2</v>
      </c>
      <c r="C20" s="21">
        <v>1.6518508782610297E-3</v>
      </c>
      <c r="D20" s="21">
        <v>8.45145583152771E-2</v>
      </c>
      <c r="E20" s="21">
        <v>2.0876196213066578E-3</v>
      </c>
      <c r="F20" s="21">
        <v>0.34523457288742065</v>
      </c>
      <c r="G20" s="21">
        <v>3.8468057755380869E-3</v>
      </c>
      <c r="H20" s="21">
        <v>0.40768638253211975</v>
      </c>
      <c r="I20" s="21">
        <v>3.7485961802303791E-3</v>
      </c>
      <c r="J20" s="21">
        <v>5.8833993971347809E-2</v>
      </c>
      <c r="K20" s="21">
        <v>1.5313670737668872E-3</v>
      </c>
      <c r="L20" s="21">
        <v>3.5407152026891708E-2</v>
      </c>
      <c r="M20" s="21">
        <v>1.32998067419976E-3</v>
      </c>
      <c r="N20" s="21">
        <v>0.40406855940818787</v>
      </c>
      <c r="O20" s="21">
        <v>3.4704848658293486E-3</v>
      </c>
      <c r="P20" s="21">
        <v>0.44700789451599121</v>
      </c>
      <c r="Q20" s="21">
        <v>4.2905574664473534E-3</v>
      </c>
      <c r="R20" s="21">
        <v>0.14892354607582092</v>
      </c>
      <c r="S20" s="21">
        <v>2.7553525287657976E-3</v>
      </c>
      <c r="T20" s="21">
        <v>0.46014246344566345</v>
      </c>
      <c r="U20" s="21">
        <v>2.6192183140665293E-3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BJ22"/>
  <sheetViews>
    <sheetView topLeftCell="AF1" workbookViewId="0">
      <selection activeCell="AV19" sqref="AV19"/>
    </sheetView>
  </sheetViews>
  <sheetFormatPr defaultColWidth="8.77734375" defaultRowHeight="14.4" x14ac:dyDescent="0.3"/>
  <sheetData>
    <row r="1" spans="2:62" x14ac:dyDescent="0.3">
      <c r="C1" s="38" t="s">
        <v>9</v>
      </c>
      <c r="D1" s="38"/>
      <c r="E1" s="38"/>
      <c r="F1" s="38"/>
      <c r="G1" s="38"/>
      <c r="H1" s="2"/>
      <c r="I1" s="2"/>
      <c r="J1" s="38" t="s">
        <v>10</v>
      </c>
      <c r="K1" s="38"/>
      <c r="L1" s="38"/>
      <c r="M1" s="38"/>
      <c r="N1" s="38"/>
      <c r="O1" s="2"/>
      <c r="P1" s="2"/>
      <c r="Q1" s="38" t="s">
        <v>14</v>
      </c>
      <c r="R1" s="38"/>
      <c r="S1" s="38"/>
      <c r="T1" s="38"/>
      <c r="U1" s="38"/>
      <c r="V1" s="2"/>
      <c r="W1" s="2"/>
      <c r="X1" s="2"/>
      <c r="Y1" s="38" t="s">
        <v>18</v>
      </c>
      <c r="Z1" s="38"/>
      <c r="AA1" s="38"/>
      <c r="AB1" s="38"/>
      <c r="AC1" s="38"/>
      <c r="AD1" s="2"/>
      <c r="AF1" s="38" t="s">
        <v>0</v>
      </c>
      <c r="AG1" s="38"/>
      <c r="AH1" s="38"/>
      <c r="AI1" s="2"/>
      <c r="AK1" s="38" t="s">
        <v>19</v>
      </c>
      <c r="AL1" s="38"/>
      <c r="AM1" s="38"/>
      <c r="AN1" s="2"/>
      <c r="AP1" s="38" t="s">
        <v>28</v>
      </c>
      <c r="AQ1" s="38"/>
      <c r="AR1" s="38"/>
      <c r="AS1" s="2"/>
      <c r="AU1" t="s">
        <v>36</v>
      </c>
      <c r="AZ1" s="39" t="s">
        <v>18</v>
      </c>
      <c r="BA1" s="38"/>
      <c r="BB1" s="38"/>
      <c r="BE1" t="s">
        <v>90</v>
      </c>
      <c r="BH1" s="38"/>
      <c r="BI1" s="38"/>
      <c r="BJ1" s="38"/>
    </row>
    <row r="2" spans="2:62" x14ac:dyDescent="0.3">
      <c r="C2" t="s">
        <v>11</v>
      </c>
      <c r="E2" t="s">
        <v>12</v>
      </c>
      <c r="G2" t="s">
        <v>13</v>
      </c>
      <c r="J2" t="s">
        <v>11</v>
      </c>
      <c r="L2" t="s">
        <v>12</v>
      </c>
      <c r="N2" t="s">
        <v>13</v>
      </c>
      <c r="Q2" t="s">
        <v>11</v>
      </c>
      <c r="S2" t="s">
        <v>12</v>
      </c>
      <c r="U2" t="s">
        <v>13</v>
      </c>
      <c r="Y2" t="s">
        <v>15</v>
      </c>
      <c r="AA2" t="s">
        <v>16</v>
      </c>
      <c r="AC2" t="s">
        <v>17</v>
      </c>
      <c r="AF2" t="s">
        <v>12</v>
      </c>
      <c r="AH2" t="s">
        <v>13</v>
      </c>
      <c r="AK2" t="s">
        <v>12</v>
      </c>
      <c r="AM2" t="s">
        <v>13</v>
      </c>
      <c r="AP2" t="s">
        <v>12</v>
      </c>
      <c r="AR2" t="s">
        <v>13</v>
      </c>
      <c r="AU2" t="s">
        <v>37</v>
      </c>
      <c r="AW2" t="s">
        <v>38</v>
      </c>
      <c r="AZ2" s="3" t="s">
        <v>83</v>
      </c>
      <c r="BB2" s="3" t="s">
        <v>84</v>
      </c>
      <c r="BE2" t="s">
        <v>12</v>
      </c>
      <c r="BG2" t="s">
        <v>13</v>
      </c>
    </row>
    <row r="3" spans="2:62" x14ac:dyDescent="0.3">
      <c r="C3" s="4"/>
      <c r="D3" s="4"/>
      <c r="E3" s="4"/>
      <c r="F3" s="4"/>
      <c r="G3" s="4"/>
      <c r="H3" s="4"/>
      <c r="I3" s="5"/>
      <c r="J3" s="4"/>
      <c r="K3" s="4"/>
      <c r="L3" s="4"/>
      <c r="M3" s="4"/>
      <c r="N3" s="4"/>
      <c r="O3" s="4"/>
      <c r="P3" s="5"/>
      <c r="Q3" s="4"/>
      <c r="R3" s="4"/>
      <c r="S3" s="4"/>
      <c r="T3" s="4"/>
      <c r="U3" s="4"/>
      <c r="V3" s="4"/>
      <c r="W3" s="5"/>
      <c r="X3" s="5"/>
      <c r="Y3" s="4"/>
      <c r="Z3" s="4"/>
      <c r="AA3" s="4"/>
      <c r="AB3" s="4"/>
      <c r="AC3" s="4"/>
      <c r="AD3" s="4"/>
      <c r="AE3" s="5"/>
      <c r="AF3" s="4"/>
      <c r="AG3" s="4"/>
      <c r="AH3" s="4"/>
      <c r="AI3" s="4"/>
      <c r="AJ3" s="5"/>
      <c r="AK3" s="4"/>
      <c r="AL3" s="4"/>
      <c r="AM3" s="4"/>
      <c r="AN3" s="4"/>
      <c r="AO3" s="5"/>
      <c r="AP3" s="4"/>
      <c r="AQ3" s="4"/>
      <c r="AR3" s="4"/>
      <c r="AS3" s="4"/>
      <c r="AT3" s="5"/>
      <c r="AU3" s="4"/>
      <c r="AV3" s="4"/>
      <c r="AW3" s="4"/>
      <c r="AX3" s="4"/>
      <c r="AZ3" s="6"/>
      <c r="BA3" s="6"/>
      <c r="BB3" s="6"/>
      <c r="BC3" s="6"/>
      <c r="BE3" s="9"/>
      <c r="BF3" s="9"/>
      <c r="BG3" s="9"/>
      <c r="BH3" s="9"/>
    </row>
    <row r="4" spans="2:62" x14ac:dyDescent="0.3">
      <c r="B4">
        <v>2004</v>
      </c>
      <c r="C4" s="15">
        <v>0.61298686265945435</v>
      </c>
      <c r="D4" s="15">
        <v>5.9535549953579903E-3</v>
      </c>
      <c r="E4" s="15">
        <v>0.55144751071929932</v>
      </c>
      <c r="F4" s="15">
        <v>3.5354219377040863E-2</v>
      </c>
      <c r="G4" s="15">
        <v>0.49547713994979858</v>
      </c>
      <c r="H4" s="15">
        <v>2.8830625116825104E-2</v>
      </c>
      <c r="I4" s="18"/>
      <c r="J4" s="15">
        <v>0.60349464416503906</v>
      </c>
      <c r="K4" s="15">
        <v>5.2348016761243343E-3</v>
      </c>
      <c r="L4" s="15">
        <v>0.62842196226119995</v>
      </c>
      <c r="M4" s="15">
        <v>2.0595606416463852E-2</v>
      </c>
      <c r="N4" s="15">
        <v>0.64469712972640991</v>
      </c>
      <c r="O4" s="15">
        <v>1.7053032293915749E-2</v>
      </c>
      <c r="P4" s="18"/>
      <c r="Q4" s="15">
        <v>0.60972589254379272</v>
      </c>
      <c r="R4" s="15">
        <v>4.3866010382771492E-3</v>
      </c>
      <c r="S4" s="15">
        <v>0.58333784341812134</v>
      </c>
      <c r="T4" s="15">
        <v>1.8134808167815208E-2</v>
      </c>
      <c r="U4" s="15">
        <v>0.55806189775466919</v>
      </c>
      <c r="V4" s="15">
        <v>1.4839960262179375E-2</v>
      </c>
      <c r="W4" s="18"/>
      <c r="X4" s="18"/>
      <c r="Y4" s="15">
        <v>-0.1545112133026123</v>
      </c>
      <c r="Z4" s="15">
        <v>1.0545363649725914E-2</v>
      </c>
      <c r="AA4" s="15">
        <v>0.46583932638168335</v>
      </c>
      <c r="AB4" s="15">
        <v>8.8654225692152977E-3</v>
      </c>
      <c r="AC4" s="15">
        <v>0.46123543381690979</v>
      </c>
      <c r="AD4" s="15">
        <v>1.1435927823185921E-2</v>
      </c>
      <c r="AE4" s="18"/>
      <c r="AF4" s="15">
        <v>0.37982028722763062</v>
      </c>
      <c r="AG4" s="15">
        <v>5.2384134382009506E-2</v>
      </c>
      <c r="AH4" s="15">
        <v>0.34037038683891296</v>
      </c>
      <c r="AI4" s="15">
        <v>4.6609450131654739E-2</v>
      </c>
      <c r="AJ4" s="18"/>
      <c r="AK4" s="15">
        <v>4.5192476361989975E-2</v>
      </c>
      <c r="AL4" s="15">
        <v>2.8177404776215553E-2</v>
      </c>
      <c r="AM4" s="15">
        <v>6.726381927728653E-2</v>
      </c>
      <c r="AN4" s="15">
        <v>2.1922960877418518E-2</v>
      </c>
      <c r="AO4" s="18"/>
      <c r="AP4" s="15">
        <v>8.2156851887702942E-2</v>
      </c>
      <c r="AQ4" s="15">
        <v>1.7370987683534622E-2</v>
      </c>
      <c r="AR4" s="15">
        <v>7.9620935022830963E-2</v>
      </c>
      <c r="AS4" s="15">
        <v>1.4414500445127487E-2</v>
      </c>
      <c r="AT4" s="18"/>
      <c r="AU4" s="15">
        <v>-0.20203852653503418</v>
      </c>
      <c r="AV4" s="15">
        <v>1.8351631239056587E-2</v>
      </c>
      <c r="AW4" s="15">
        <v>-0.28062465786933899</v>
      </c>
      <c r="AX4" s="15">
        <v>1.2887941673398018E-2</v>
      </c>
      <c r="AY4" s="18"/>
      <c r="AZ4" s="19">
        <v>0.37233942747116089</v>
      </c>
      <c r="BA4" s="19">
        <v>5.1888665184378624E-3</v>
      </c>
      <c r="BB4" s="19">
        <v>0.36773556470870972</v>
      </c>
      <c r="BC4" s="19">
        <v>8.9502539485692978E-3</v>
      </c>
      <c r="BE4" s="13">
        <v>0.11210585385560989</v>
      </c>
      <c r="BF4" s="13">
        <v>3.7688147276639938E-2</v>
      </c>
      <c r="BG4" s="13">
        <v>0.13188795745372772</v>
      </c>
      <c r="BH4" s="13">
        <v>3.7606552243232727E-2</v>
      </c>
    </row>
    <row r="5" spans="2:62" x14ac:dyDescent="0.3">
      <c r="B5">
        <v>2005</v>
      </c>
      <c r="C5" s="12">
        <v>0.56002563238143921</v>
      </c>
      <c r="D5" s="12">
        <v>5.8143185451626778E-3</v>
      </c>
      <c r="E5" s="12">
        <v>0.48241770267486572</v>
      </c>
      <c r="F5" s="12">
        <v>3.2502155750989914E-2</v>
      </c>
      <c r="G5" s="12">
        <v>0.47113734483718872</v>
      </c>
      <c r="H5" s="12">
        <v>2.0052516832947731E-2</v>
      </c>
      <c r="I5" s="16"/>
      <c r="J5" s="12">
        <v>0.58179610967636108</v>
      </c>
      <c r="K5" s="12">
        <v>4.9220933578908443E-3</v>
      </c>
      <c r="L5" s="12">
        <v>0.60194528102874756</v>
      </c>
      <c r="M5" s="12">
        <v>2.8222270309925079E-2</v>
      </c>
      <c r="N5" s="12">
        <v>0.61155599355697632</v>
      </c>
      <c r="O5" s="12">
        <v>2.051515132188797E-2</v>
      </c>
      <c r="P5" s="16"/>
      <c r="Q5" s="12">
        <v>0.57383418083190918</v>
      </c>
      <c r="R5" s="12">
        <v>3.8875003810971975E-3</v>
      </c>
      <c r="S5" s="12">
        <v>0.50281298160552979</v>
      </c>
      <c r="T5" s="12">
        <v>2.0017275586724281E-2</v>
      </c>
      <c r="U5" s="12">
        <v>0.51495927572250366</v>
      </c>
      <c r="V5" s="12">
        <v>1.610962487757206E-2</v>
      </c>
      <c r="W5" s="16"/>
      <c r="X5" s="16"/>
      <c r="Y5" s="12">
        <v>-0.12439119070768356</v>
      </c>
      <c r="Z5" s="12">
        <v>9.4356304034590721E-3</v>
      </c>
      <c r="AA5" s="12">
        <v>0.4802558422088623</v>
      </c>
      <c r="AB5" s="12">
        <v>7.3124086484313011E-3</v>
      </c>
      <c r="AC5" s="12">
        <v>0.58106905221939087</v>
      </c>
      <c r="AD5" s="12">
        <v>9.9013540893793106E-3</v>
      </c>
      <c r="AE5" s="16"/>
      <c r="AF5" s="12">
        <v>0.22894991934299469</v>
      </c>
      <c r="AG5" s="12">
        <v>5.0331395119428635E-2</v>
      </c>
      <c r="AH5" s="12">
        <v>0.2608453631401062</v>
      </c>
      <c r="AI5" s="12">
        <v>4.3445579707622528E-2</v>
      </c>
      <c r="AJ5" s="16"/>
      <c r="AK5" s="12">
        <v>0.12688732147216797</v>
      </c>
      <c r="AL5" s="12">
        <v>2.2957725450396538E-2</v>
      </c>
      <c r="AM5" s="12">
        <v>0.11510487645864487</v>
      </c>
      <c r="AN5" s="12">
        <v>1.9884154200553894E-2</v>
      </c>
      <c r="AO5" s="16"/>
      <c r="AP5" s="12">
        <v>8.1422463059425354E-2</v>
      </c>
      <c r="AQ5" s="12">
        <v>1.5377519652247429E-2</v>
      </c>
      <c r="AR5" s="12">
        <v>7.2594575583934784E-2</v>
      </c>
      <c r="AS5" s="12">
        <v>1.6156844794750214E-2</v>
      </c>
      <c r="AT5" s="16"/>
      <c r="AU5" s="12">
        <v>-0.1992945671081543</v>
      </c>
      <c r="AV5" s="12">
        <v>1.6538321971893311E-2</v>
      </c>
      <c r="AW5" s="12">
        <v>-0.2281053364276886</v>
      </c>
      <c r="AX5" s="12">
        <v>1.2784202583134174E-2</v>
      </c>
      <c r="AY5" s="16"/>
      <c r="AZ5" s="17">
        <v>0.4070466160774231</v>
      </c>
      <c r="BA5" s="17">
        <v>4.1533964686095715E-3</v>
      </c>
      <c r="BB5" s="17">
        <v>0.50785982608795166</v>
      </c>
      <c r="BC5" s="17">
        <v>8.8008781895041466E-3</v>
      </c>
      <c r="BE5" s="10">
        <v>8.5043482482433319E-2</v>
      </c>
      <c r="BF5" s="10">
        <v>3.5265795886516571E-2</v>
      </c>
      <c r="BG5" s="10">
        <v>0.11812520772218704</v>
      </c>
      <c r="BH5" s="10">
        <v>4.0041934698820114E-2</v>
      </c>
    </row>
    <row r="6" spans="2:62" x14ac:dyDescent="0.3">
      <c r="B6">
        <v>2006</v>
      </c>
      <c r="C6" s="12">
        <v>0.56808972358703613</v>
      </c>
      <c r="D6" s="12">
        <v>5.7030823081731796E-3</v>
      </c>
      <c r="E6" s="12">
        <v>0.46080008149147034</v>
      </c>
      <c r="F6" s="12">
        <v>3.5123210400342941E-2</v>
      </c>
      <c r="G6" s="12">
        <v>0.43563726544380188</v>
      </c>
      <c r="H6" s="12">
        <v>2.9786806553602219E-2</v>
      </c>
      <c r="I6" s="16"/>
      <c r="J6" s="12">
        <v>0.58005452156066895</v>
      </c>
      <c r="K6" s="12">
        <v>4.7503733076155186E-3</v>
      </c>
      <c r="L6" s="12">
        <v>0.60550141334533691</v>
      </c>
      <c r="M6" s="12">
        <v>2.1836137399077415E-2</v>
      </c>
      <c r="N6" s="12">
        <v>0.62510251998901367</v>
      </c>
      <c r="O6" s="12">
        <v>1.6442563384771347E-2</v>
      </c>
      <c r="P6" s="16"/>
      <c r="Q6" s="12">
        <v>0.58071219921112061</v>
      </c>
      <c r="R6" s="12">
        <v>4.2103840969502926E-3</v>
      </c>
      <c r="S6" s="12">
        <v>0.49717679619789124</v>
      </c>
      <c r="T6" s="12">
        <v>1.8464123830199242E-2</v>
      </c>
      <c r="U6" s="12">
        <v>0.50957310199737549</v>
      </c>
      <c r="V6" s="12">
        <v>1.4465127140283585E-2</v>
      </c>
      <c r="W6" s="16"/>
      <c r="X6" s="16"/>
      <c r="Y6" s="12">
        <v>-0.10526406764984131</v>
      </c>
      <c r="Z6" s="12">
        <v>9.3296561390161514E-3</v>
      </c>
      <c r="AA6" s="12">
        <v>0.40940013527870178</v>
      </c>
      <c r="AB6" s="12">
        <v>7.0141912437975407E-3</v>
      </c>
      <c r="AC6" s="12">
        <v>0.62719643115997314</v>
      </c>
      <c r="AD6" s="12">
        <v>1.1140994727611542E-2</v>
      </c>
      <c r="AE6" s="16"/>
      <c r="AF6" s="12">
        <v>0.2633000910282135</v>
      </c>
      <c r="AG6" s="12">
        <v>4.8441186547279358E-2</v>
      </c>
      <c r="AH6" s="12">
        <v>0.25468257069587708</v>
      </c>
      <c r="AI6" s="12">
        <v>4.9963179975748062E-2</v>
      </c>
      <c r="AJ6" s="16"/>
      <c r="AK6" s="12">
        <v>6.763564795255661E-2</v>
      </c>
      <c r="AL6" s="12">
        <v>2.4308692663908005E-2</v>
      </c>
      <c r="AM6" s="12">
        <v>7.1399398148059845E-2</v>
      </c>
      <c r="AN6" s="12">
        <v>2.2316593676805496E-2</v>
      </c>
      <c r="AO6" s="16"/>
      <c r="AP6" s="12">
        <v>8.6036801338195801E-2</v>
      </c>
      <c r="AQ6" s="12">
        <v>1.7366647720336914E-2</v>
      </c>
      <c r="AR6" s="12">
        <v>7.3165901005268097E-2</v>
      </c>
      <c r="AS6" s="12">
        <v>1.7047068104147911E-2</v>
      </c>
      <c r="AT6" s="16"/>
      <c r="AU6" s="12">
        <v>-0.12891459465026855</v>
      </c>
      <c r="AV6" s="12">
        <v>1.2325750663876534E-2</v>
      </c>
      <c r="AW6" s="12">
        <v>-0.18841376900672913</v>
      </c>
      <c r="AX6" s="12">
        <v>1.2388831935822964E-2</v>
      </c>
      <c r="AY6" s="16"/>
      <c r="AZ6" s="17">
        <v>0.34449636936187744</v>
      </c>
      <c r="BA6" s="17">
        <v>4.7393720597028732E-3</v>
      </c>
      <c r="BB6" s="17">
        <v>0.56229263544082642</v>
      </c>
      <c r="BC6" s="17">
        <v>8.7953023612499237E-3</v>
      </c>
      <c r="BE6" s="10">
        <v>0.195015549659729</v>
      </c>
      <c r="BF6" s="10">
        <v>3.7605024874210358E-2</v>
      </c>
      <c r="BG6" s="10">
        <v>0.21495039761066437</v>
      </c>
      <c r="BH6" s="10">
        <v>3.5997666418552399E-2</v>
      </c>
    </row>
    <row r="7" spans="2:62" x14ac:dyDescent="0.3">
      <c r="B7">
        <v>2007</v>
      </c>
      <c r="C7" s="12">
        <v>0.54687029123306274</v>
      </c>
      <c r="D7" s="12">
        <v>6.6925743594765663E-3</v>
      </c>
      <c r="E7" s="12">
        <v>0.40325528383255005</v>
      </c>
      <c r="F7" s="12">
        <v>3.7947390228509903E-2</v>
      </c>
      <c r="G7" s="12">
        <v>0.37096837162971497</v>
      </c>
      <c r="H7" s="12">
        <v>3.046402707695961E-2</v>
      </c>
      <c r="I7" s="16"/>
      <c r="J7" s="12">
        <v>0.62608349323272705</v>
      </c>
      <c r="K7" s="12">
        <v>6.2956763431429863E-3</v>
      </c>
      <c r="L7" s="12">
        <v>0.64017856121063232</v>
      </c>
      <c r="M7" s="12">
        <v>2.3363219574093819E-2</v>
      </c>
      <c r="N7" s="12">
        <v>0.61616510152816772</v>
      </c>
      <c r="O7" s="12">
        <v>1.9411914050579071E-2</v>
      </c>
      <c r="P7" s="16"/>
      <c r="Q7" s="12">
        <v>0.59758996963500977</v>
      </c>
      <c r="R7" s="12">
        <v>4.4251806102693081E-3</v>
      </c>
      <c r="S7" s="12">
        <v>0.52887439727783203</v>
      </c>
      <c r="T7" s="12">
        <v>1.9099161028862E-2</v>
      </c>
      <c r="U7" s="12">
        <v>0.49967929720878601</v>
      </c>
      <c r="V7" s="12">
        <v>1.4274915680289268E-2</v>
      </c>
      <c r="W7" s="16"/>
      <c r="X7" s="16"/>
      <c r="Y7" s="12">
        <v>-0.10654390603303909</v>
      </c>
      <c r="Z7" s="12">
        <v>9.0976273640990257E-3</v>
      </c>
      <c r="AA7" s="12">
        <v>0.32377639412879944</v>
      </c>
      <c r="AB7" s="12">
        <v>6.8199182860553265E-3</v>
      </c>
      <c r="AC7" s="12">
        <v>0.57056844234466553</v>
      </c>
      <c r="AD7" s="12">
        <v>9.5121590420603752E-3</v>
      </c>
      <c r="AE7" s="16"/>
      <c r="AF7" s="12">
        <v>0.328480064868927</v>
      </c>
      <c r="AG7" s="12">
        <v>6.3157260417938232E-2</v>
      </c>
      <c r="AH7" s="12">
        <v>0.31218704581260681</v>
      </c>
      <c r="AI7" s="12">
        <v>4.8523645848035812E-2</v>
      </c>
      <c r="AJ7" s="16"/>
      <c r="AK7" s="12">
        <v>6.4936630427837372E-2</v>
      </c>
      <c r="AL7" s="12">
        <v>2.4106865748763084E-2</v>
      </c>
      <c r="AM7" s="12">
        <v>5.2934430539608002E-2</v>
      </c>
      <c r="AN7" s="12">
        <v>2.2698994725942612E-2</v>
      </c>
      <c r="AO7" s="16"/>
      <c r="AP7" s="12">
        <v>9.0052060782909393E-2</v>
      </c>
      <c r="AQ7" s="12">
        <v>1.4079530723392963E-2</v>
      </c>
      <c r="AR7" s="12">
        <v>7.7012293040752411E-2</v>
      </c>
      <c r="AS7" s="12">
        <v>1.5674076974391937E-2</v>
      </c>
      <c r="AT7" s="16"/>
      <c r="AU7" s="12">
        <v>-0.10921549797058105</v>
      </c>
      <c r="AV7" s="12">
        <v>1.3249722309410572E-2</v>
      </c>
      <c r="AW7" s="12">
        <v>-0.18487221002578735</v>
      </c>
      <c r="AX7" s="12">
        <v>1.1868522502481937E-2</v>
      </c>
      <c r="AY7" s="16"/>
      <c r="AZ7" s="17">
        <v>0.25767350196838379</v>
      </c>
      <c r="BA7" s="17">
        <v>5.5562914349138737E-3</v>
      </c>
      <c r="BB7" s="17">
        <v>0.50446552038192749</v>
      </c>
      <c r="BC7" s="17">
        <v>9.416838176548481E-3</v>
      </c>
      <c r="BE7" s="10">
        <v>0.19924420118331909</v>
      </c>
      <c r="BF7" s="10">
        <v>4.2186848819255829E-2</v>
      </c>
      <c r="BG7" s="10">
        <v>0.19349215924739838</v>
      </c>
      <c r="BH7" s="10">
        <v>3.4616056829690933E-2</v>
      </c>
    </row>
    <row r="8" spans="2:62" x14ac:dyDescent="0.3">
      <c r="B8">
        <v>2008</v>
      </c>
      <c r="C8" s="12">
        <v>0.54970645904541016</v>
      </c>
      <c r="D8" s="12">
        <v>5.0488500855863094E-3</v>
      </c>
      <c r="E8" s="12">
        <v>0.38953682780265808</v>
      </c>
      <c r="F8" s="12">
        <v>3.3145632594823837E-2</v>
      </c>
      <c r="G8" s="12">
        <v>0.37093028426170349</v>
      </c>
      <c r="H8" s="12">
        <v>2.564067579805851E-2</v>
      </c>
      <c r="I8" s="16"/>
      <c r="J8" s="12">
        <v>0.599068284034729</v>
      </c>
      <c r="K8" s="12">
        <v>5.2379732951521873E-3</v>
      </c>
      <c r="L8" s="12">
        <v>0.59753274917602539</v>
      </c>
      <c r="M8" s="12">
        <v>2.3408101871609688E-2</v>
      </c>
      <c r="N8" s="12">
        <v>0.61152350902557373</v>
      </c>
      <c r="O8" s="12">
        <v>1.7188843339681625E-2</v>
      </c>
      <c r="P8" s="16"/>
      <c r="Q8" s="12">
        <v>0.582611083984375</v>
      </c>
      <c r="R8" s="12">
        <v>3.9266329258680344E-3</v>
      </c>
      <c r="S8" s="12">
        <v>0.49293822050094604</v>
      </c>
      <c r="T8" s="12">
        <v>1.6622528433799744E-2</v>
      </c>
      <c r="U8" s="12">
        <v>0.48495641350746155</v>
      </c>
      <c r="V8" s="12">
        <v>1.5874722972512245E-2</v>
      </c>
      <c r="W8" s="16"/>
      <c r="X8" s="16"/>
      <c r="Y8" s="12">
        <v>-0.10034054517745972</v>
      </c>
      <c r="Z8" s="12">
        <v>9.914688766002655E-3</v>
      </c>
      <c r="AA8" s="12">
        <v>0.32322654128074646</v>
      </c>
      <c r="AB8" s="12">
        <v>7.4893929995596409E-3</v>
      </c>
      <c r="AC8" s="12">
        <v>0.65976351499557495</v>
      </c>
      <c r="AD8" s="12">
        <v>1.1733413673937321E-2</v>
      </c>
      <c r="AE8" s="16"/>
      <c r="AF8" s="12">
        <v>0.22541117668151855</v>
      </c>
      <c r="AG8" s="12">
        <v>4.0392614901065826E-2</v>
      </c>
      <c r="AH8" s="12">
        <v>0.24372369050979614</v>
      </c>
      <c r="AI8" s="12">
        <v>4.7078799456357956E-2</v>
      </c>
      <c r="AJ8" s="16"/>
      <c r="AK8" s="12">
        <v>7.7675983309745789E-2</v>
      </c>
      <c r="AL8" s="12">
        <v>2.4995855987071991E-2</v>
      </c>
      <c r="AM8" s="12">
        <v>8.9371904730796814E-2</v>
      </c>
      <c r="AN8" s="12">
        <v>2.6424173265695572E-2</v>
      </c>
      <c r="AO8" s="16"/>
      <c r="AP8" s="12">
        <v>4.5508064329624176E-2</v>
      </c>
      <c r="AQ8" s="12">
        <v>1.8250610679388046E-2</v>
      </c>
      <c r="AR8" s="12">
        <v>7.1261949837207794E-2</v>
      </c>
      <c r="AS8" s="12">
        <v>1.8329868093132973E-2</v>
      </c>
      <c r="AT8" s="16"/>
      <c r="AU8" s="12">
        <v>-7.4277400970458984E-2</v>
      </c>
      <c r="AV8" s="12">
        <v>1.308088842779398E-2</v>
      </c>
      <c r="AW8" s="12">
        <v>-0.15192367136478424</v>
      </c>
      <c r="AX8" s="12">
        <v>1.1457063257694244E-2</v>
      </c>
      <c r="AY8" s="16"/>
      <c r="AZ8" s="17">
        <v>0.2600904107093811</v>
      </c>
      <c r="BA8" s="17">
        <v>4.393997136503458E-3</v>
      </c>
      <c r="BB8" s="17">
        <v>0.59662735462188721</v>
      </c>
      <c r="BC8" s="17">
        <v>1.1016403324902058E-2</v>
      </c>
      <c r="BE8" s="10">
        <v>9.5602124929428101E-2</v>
      </c>
      <c r="BF8" s="10">
        <v>4.0956400334835052E-2</v>
      </c>
      <c r="BG8" s="10">
        <v>8.6104899644851685E-2</v>
      </c>
      <c r="BH8" s="10">
        <v>4.2986501008272171E-2</v>
      </c>
    </row>
    <row r="9" spans="2:62" x14ac:dyDescent="0.3">
      <c r="B9">
        <v>2009</v>
      </c>
      <c r="C9" s="12">
        <v>0.58915185928344727</v>
      </c>
      <c r="D9" s="12">
        <v>9.0904328972101212E-3</v>
      </c>
      <c r="E9" s="12">
        <v>0.34523171186447144</v>
      </c>
      <c r="F9" s="12">
        <v>5.8312054723501205E-2</v>
      </c>
      <c r="G9" s="12">
        <v>0.33944526314735413</v>
      </c>
      <c r="H9" s="12">
        <v>3.847726434469223E-2</v>
      </c>
      <c r="I9" s="16"/>
      <c r="J9" s="12">
        <v>0.56524914503097534</v>
      </c>
      <c r="K9" s="12">
        <v>4.6340939588844776E-3</v>
      </c>
      <c r="L9" s="12">
        <v>0.5670737624168396</v>
      </c>
      <c r="M9" s="12">
        <v>2.1498849615454674E-2</v>
      </c>
      <c r="N9" s="12">
        <v>0.61151832342147827</v>
      </c>
      <c r="O9" s="12">
        <v>1.5718486160039902E-2</v>
      </c>
      <c r="P9" s="16"/>
      <c r="Q9" s="12">
        <v>0.56941759586334229</v>
      </c>
      <c r="R9" s="12">
        <v>3.9395764470100403E-3</v>
      </c>
      <c r="S9" s="12">
        <v>0.4747270941734314</v>
      </c>
      <c r="T9" s="12">
        <v>2.3165274411439896E-2</v>
      </c>
      <c r="U9" s="12">
        <v>0.51301604509353638</v>
      </c>
      <c r="V9" s="12">
        <v>1.4500316232442856E-2</v>
      </c>
      <c r="W9" s="16"/>
      <c r="X9" s="16"/>
      <c r="Y9" s="12">
        <v>-5.8024056255817413E-2</v>
      </c>
      <c r="Z9" s="12">
        <v>1.1405749246478081E-2</v>
      </c>
      <c r="AA9" s="12">
        <v>0.46981474757194519</v>
      </c>
      <c r="AB9" s="12">
        <v>1.0162573307752609E-2</v>
      </c>
      <c r="AC9" s="12">
        <v>0.72771668434143066</v>
      </c>
      <c r="AD9" s="12">
        <v>1.3246158137917519E-2</v>
      </c>
      <c r="AE9" s="16"/>
      <c r="AF9" s="12">
        <v>0.27215948700904846</v>
      </c>
      <c r="AG9" s="12">
        <v>4.9815122038125992E-2</v>
      </c>
      <c r="AH9" s="12">
        <v>0.27277490496635437</v>
      </c>
      <c r="AI9" s="12">
        <v>4.9970079213380814E-2</v>
      </c>
      <c r="AJ9" s="16"/>
      <c r="AK9" s="12">
        <v>7.9944483935832977E-2</v>
      </c>
      <c r="AL9" s="12">
        <v>3.0223522335290909E-2</v>
      </c>
      <c r="AM9" s="12">
        <v>0.1047104150056839</v>
      </c>
      <c r="AN9" s="12">
        <v>3.0955459922552109E-2</v>
      </c>
      <c r="AO9" s="16"/>
      <c r="AP9" s="12">
        <v>8.5994884371757507E-2</v>
      </c>
      <c r="AQ9" s="12">
        <v>2.1457333117723465E-2</v>
      </c>
      <c r="AR9" s="12">
        <v>8.8674403727054596E-2</v>
      </c>
      <c r="AS9" s="12">
        <v>1.9545324146747589E-2</v>
      </c>
      <c r="AT9" s="16"/>
      <c r="AU9" s="12">
        <v>-9.4356298446655273E-2</v>
      </c>
      <c r="AV9" s="12">
        <v>1.9312858581542969E-2</v>
      </c>
      <c r="AW9" s="12">
        <v>-0.1420016884803772</v>
      </c>
      <c r="AX9" s="12">
        <v>1.2882774695754051E-2</v>
      </c>
      <c r="AY9" s="16"/>
      <c r="AZ9" s="17">
        <v>0.42722022533416748</v>
      </c>
      <c r="BA9" s="17">
        <v>4.8362696543335915E-3</v>
      </c>
      <c r="BB9" s="17">
        <v>0.68512219190597534</v>
      </c>
      <c r="BC9" s="17">
        <v>1.0336768813431263E-2</v>
      </c>
      <c r="BE9" s="10">
        <v>0.16801580786705017</v>
      </c>
      <c r="BF9" s="10">
        <v>4.4517695903778076E-2</v>
      </c>
      <c r="BG9" s="10">
        <v>0.18465963006019592</v>
      </c>
      <c r="BH9" s="10">
        <v>4.5035760849714279E-2</v>
      </c>
    </row>
    <row r="10" spans="2:62" x14ac:dyDescent="0.3">
      <c r="B10">
        <v>2010</v>
      </c>
      <c r="C10" s="12">
        <v>0.5230095386505127</v>
      </c>
      <c r="D10" s="12">
        <v>6.9113094359636307E-3</v>
      </c>
      <c r="E10" s="12">
        <v>0.40972959995269775</v>
      </c>
      <c r="F10" s="12">
        <v>7.2806358337402344E-2</v>
      </c>
      <c r="G10" s="12">
        <v>0.39893770217895508</v>
      </c>
      <c r="H10" s="12">
        <v>3.1669031828641891E-2</v>
      </c>
      <c r="I10" s="16"/>
      <c r="J10" s="12">
        <v>0.56594300270080566</v>
      </c>
      <c r="K10" s="12">
        <v>4.4236578978598118E-3</v>
      </c>
      <c r="L10" s="12">
        <v>0.58645820617675781</v>
      </c>
      <c r="M10" s="12">
        <v>3.1927365809679031E-2</v>
      </c>
      <c r="N10" s="12">
        <v>0.61412853002548218</v>
      </c>
      <c r="O10" s="12">
        <v>1.744842529296875E-2</v>
      </c>
      <c r="P10" s="16"/>
      <c r="Q10" s="12">
        <v>0.5531080961227417</v>
      </c>
      <c r="R10" s="12">
        <v>4.103571642190218E-3</v>
      </c>
      <c r="S10" s="12">
        <v>0.50964570045471191</v>
      </c>
      <c r="T10" s="12">
        <v>3.2937079668045044E-2</v>
      </c>
      <c r="U10" s="12">
        <v>0.52269184589385986</v>
      </c>
      <c r="V10" s="12">
        <v>1.5586377121508121E-2</v>
      </c>
      <c r="W10" s="16"/>
      <c r="X10" s="16"/>
      <c r="Y10" s="12">
        <v>-2.5604948401451111E-2</v>
      </c>
      <c r="Z10" s="12">
        <v>9.419403038918972E-3</v>
      </c>
      <c r="AA10" s="12">
        <v>0.30406627058982849</v>
      </c>
      <c r="AB10" s="12">
        <v>8.0395368859171867E-3</v>
      </c>
      <c r="AC10" s="12">
        <v>0.62198245525360107</v>
      </c>
      <c r="AD10" s="12">
        <v>1.3389800675213337E-2</v>
      </c>
      <c r="AE10" s="16"/>
      <c r="AF10" s="12">
        <v>0.23883673548698425</v>
      </c>
      <c r="AG10" s="12">
        <v>6.6411159932613373E-2</v>
      </c>
      <c r="AH10" s="12">
        <v>0.24172437191009521</v>
      </c>
      <c r="AI10" s="12">
        <v>5.6818999350070953E-2</v>
      </c>
      <c r="AJ10" s="16"/>
      <c r="AK10" s="12">
        <v>0.1234167143702507</v>
      </c>
      <c r="AL10" s="12">
        <v>2.9144790023565292E-2</v>
      </c>
      <c r="AM10" s="12">
        <v>0.10423164069652557</v>
      </c>
      <c r="AN10" s="12">
        <v>2.9972506687045097E-2</v>
      </c>
      <c r="AO10" s="16"/>
      <c r="AP10" s="12">
        <v>8.5029952228069305E-2</v>
      </c>
      <c r="AQ10" s="12">
        <v>2.0034361630678177E-2</v>
      </c>
      <c r="AR10" s="12">
        <v>8.1845797598361969E-2</v>
      </c>
      <c r="AS10" s="12">
        <v>1.9587123766541481E-2</v>
      </c>
      <c r="AT10" s="16"/>
      <c r="AU10" s="12">
        <v>-8.2276582717895508E-2</v>
      </c>
      <c r="AV10" s="12">
        <v>1.4955237507820129E-2</v>
      </c>
      <c r="AW10" s="12">
        <v>-0.11810338497161865</v>
      </c>
      <c r="AX10" s="12">
        <v>1.0770637542009354E-2</v>
      </c>
      <c r="AY10" s="16"/>
      <c r="AZ10" s="17">
        <v>0.28629624843597412</v>
      </c>
      <c r="BA10" s="17">
        <v>4.666278138756752E-3</v>
      </c>
      <c r="BB10" s="17">
        <v>0.60421240329742432</v>
      </c>
      <c r="BC10" s="17">
        <v>1.0557716712355614E-2</v>
      </c>
      <c r="BE10" s="10">
        <v>0.19937713444232941</v>
      </c>
      <c r="BF10" s="10">
        <v>4.4500537216663361E-2</v>
      </c>
      <c r="BG10" s="10">
        <v>0.2151922732591629</v>
      </c>
      <c r="BH10" s="10">
        <v>4.2630378156900406E-2</v>
      </c>
    </row>
    <row r="11" spans="2:62" x14ac:dyDescent="0.3">
      <c r="B11">
        <v>2011</v>
      </c>
      <c r="C11" s="12">
        <v>0.56928098201751709</v>
      </c>
      <c r="D11" s="12">
        <v>9.4513744115829468E-3</v>
      </c>
      <c r="E11" s="12">
        <v>0.3986002504825592</v>
      </c>
      <c r="F11" s="12">
        <v>4.9285050481557846E-2</v>
      </c>
      <c r="G11" s="12">
        <v>0.38726899027824402</v>
      </c>
      <c r="H11" s="12">
        <v>3.2658029347658157E-2</v>
      </c>
      <c r="I11" s="16"/>
      <c r="J11" s="12">
        <v>0.56349843740463257</v>
      </c>
      <c r="K11" s="12">
        <v>5.182336550205946E-3</v>
      </c>
      <c r="L11" s="12">
        <v>0.49200710654258728</v>
      </c>
      <c r="M11" s="12">
        <v>2.7100430801510811E-2</v>
      </c>
      <c r="N11" s="12">
        <v>0.52887135744094849</v>
      </c>
      <c r="O11" s="12">
        <v>2.061731368303299E-2</v>
      </c>
      <c r="P11" s="16"/>
      <c r="Q11" s="12">
        <v>0.56383907794952393</v>
      </c>
      <c r="R11" s="12">
        <v>3.9157876744866371E-3</v>
      </c>
      <c r="S11" s="12">
        <v>0.43733137845993042</v>
      </c>
      <c r="T11" s="12">
        <v>2.3558458313345909E-2</v>
      </c>
      <c r="U11" s="12">
        <v>0.45694354176521301</v>
      </c>
      <c r="V11" s="12">
        <v>1.9125010818243027E-2</v>
      </c>
      <c r="W11" s="16"/>
      <c r="X11" s="16"/>
      <c r="Y11" s="12">
        <v>-2.6347976177930832E-2</v>
      </c>
      <c r="Z11" s="12">
        <v>1.0677027516067028E-2</v>
      </c>
      <c r="AA11" s="12">
        <v>0.29747244715690613</v>
      </c>
      <c r="AB11" s="12">
        <v>9.5285782590508461E-3</v>
      </c>
      <c r="AC11" s="12">
        <v>0.69341254234313965</v>
      </c>
      <c r="AD11" s="12">
        <v>1.6954114660620689E-2</v>
      </c>
      <c r="AE11" s="16"/>
      <c r="AF11" s="12">
        <v>0.20293723046779633</v>
      </c>
      <c r="AG11" s="12">
        <v>6.5786287188529968E-2</v>
      </c>
      <c r="AH11" s="12">
        <v>0.21984532475471497</v>
      </c>
      <c r="AI11" s="12">
        <v>5.3266491740942001E-2</v>
      </c>
      <c r="AJ11" s="16"/>
      <c r="AK11" s="12">
        <v>0.10147932916879654</v>
      </c>
      <c r="AL11" s="12">
        <v>2.9414206743240356E-2</v>
      </c>
      <c r="AM11" s="12">
        <v>7.4074126780033112E-2</v>
      </c>
      <c r="AN11" s="12">
        <v>3.1455732882022858E-2</v>
      </c>
      <c r="AO11" s="16"/>
      <c r="AP11" s="12">
        <v>0.10650275647640228</v>
      </c>
      <c r="AQ11" s="12">
        <v>1.900516077876091E-2</v>
      </c>
      <c r="AR11" s="12">
        <v>0.10895483195781708</v>
      </c>
      <c r="AS11" s="12">
        <v>1.7091838642954826E-2</v>
      </c>
      <c r="AT11" s="16"/>
      <c r="AU11" s="12">
        <v>-4.5516490936279297E-2</v>
      </c>
      <c r="AV11" s="12">
        <v>1.6949797049164772E-2</v>
      </c>
      <c r="AW11" s="12">
        <v>-7.040298730134964E-2</v>
      </c>
      <c r="AX11" s="12">
        <v>1.371927373111248E-2</v>
      </c>
      <c r="AY11" s="16"/>
      <c r="AZ11" s="17">
        <v>0.27941241860389709</v>
      </c>
      <c r="BA11" s="17">
        <v>5.0120903179049492E-3</v>
      </c>
      <c r="BB11" s="17">
        <v>0.67535251379013062</v>
      </c>
      <c r="BC11" s="17">
        <v>1.1826330795884132E-2</v>
      </c>
      <c r="BE11" s="10">
        <v>0.12484337389469147</v>
      </c>
      <c r="BF11" s="10">
        <v>8.3320043981075287E-2</v>
      </c>
      <c r="BG11" s="10">
        <v>0.1971428394317627</v>
      </c>
      <c r="BH11" s="10">
        <v>5.2512273192405701E-2</v>
      </c>
    </row>
    <row r="12" spans="2:62" x14ac:dyDescent="0.3">
      <c r="B12">
        <v>2012</v>
      </c>
      <c r="C12" s="12">
        <v>0.54160481691360474</v>
      </c>
      <c r="D12" s="12">
        <v>7.8642638400197029E-3</v>
      </c>
      <c r="E12" s="12">
        <v>0.33494433760643005</v>
      </c>
      <c r="F12" s="12">
        <v>4.6559974551200867E-2</v>
      </c>
      <c r="G12" s="12">
        <v>0.29985091090202332</v>
      </c>
      <c r="H12" s="12">
        <v>3.7806257605552673E-2</v>
      </c>
      <c r="I12" s="16"/>
      <c r="J12" s="12">
        <v>0.57223087549209595</v>
      </c>
      <c r="K12" s="12">
        <v>5.8980626054108143E-3</v>
      </c>
      <c r="L12" s="12">
        <v>0.52215385437011719</v>
      </c>
      <c r="M12" s="12">
        <v>4.9730692058801651E-2</v>
      </c>
      <c r="N12" s="12">
        <v>0.54093903303146362</v>
      </c>
      <c r="O12" s="12">
        <v>1.9896252080798149E-2</v>
      </c>
      <c r="P12" s="16"/>
      <c r="Q12" s="12">
        <v>0.56184619665145874</v>
      </c>
      <c r="R12" s="12">
        <v>3.6495709791779518E-3</v>
      </c>
      <c r="S12" s="12">
        <v>0.44341069459915161</v>
      </c>
      <c r="T12" s="12">
        <v>4.4894840568304062E-2</v>
      </c>
      <c r="U12" s="12">
        <v>0.42927202582359314</v>
      </c>
      <c r="V12" s="12">
        <v>1.8365655094385147E-2</v>
      </c>
      <c r="W12" s="16"/>
      <c r="X12" s="16"/>
      <c r="Y12" s="12">
        <v>-2.8685121797025204E-3</v>
      </c>
      <c r="Z12" s="12">
        <v>1.0588155128061771E-2</v>
      </c>
      <c r="AA12" s="12">
        <v>0.24447984993457794</v>
      </c>
      <c r="AB12" s="12">
        <v>8.3470391109585762E-3</v>
      </c>
      <c r="AC12" s="12">
        <v>0.78589743375778198</v>
      </c>
      <c r="AD12" s="12">
        <v>1.6123654320836067E-2</v>
      </c>
      <c r="AE12" s="16"/>
      <c r="AF12" s="12">
        <v>0.17436319589614868</v>
      </c>
      <c r="AG12" s="12">
        <v>6.4120851457118988E-2</v>
      </c>
      <c r="AH12" s="12">
        <v>0.1799616664648056</v>
      </c>
      <c r="AI12" s="12">
        <v>5.317176878452301E-2</v>
      </c>
      <c r="AJ12" s="16"/>
      <c r="AK12" s="12">
        <v>0.12566028535366058</v>
      </c>
      <c r="AL12" s="12">
        <v>3.1565405428409576E-2</v>
      </c>
      <c r="AM12" s="12">
        <v>0.13190236687660217</v>
      </c>
      <c r="AN12" s="12">
        <v>3.5476882010698318E-2</v>
      </c>
      <c r="AO12" s="16"/>
      <c r="AP12" s="12">
        <v>0.11178192496299744</v>
      </c>
      <c r="AQ12" s="12">
        <v>1.788206584751606E-2</v>
      </c>
      <c r="AR12" s="12">
        <v>0.12173768132925034</v>
      </c>
      <c r="AS12" s="12">
        <v>2.1738439798355103E-2</v>
      </c>
      <c r="AT12" s="16"/>
      <c r="AU12" s="12">
        <v>-4.878997802734375E-2</v>
      </c>
      <c r="AV12" s="12">
        <v>1.098508108407259E-2</v>
      </c>
      <c r="AW12" s="12">
        <v>-6.5872043371200562E-2</v>
      </c>
      <c r="AX12" s="12">
        <v>1.3222135603427887E-2</v>
      </c>
      <c r="AY12" s="16"/>
      <c r="AZ12" s="17">
        <v>0.24537624418735504</v>
      </c>
      <c r="BA12" s="17">
        <v>5.7544000446796417E-3</v>
      </c>
      <c r="BB12" s="17">
        <v>0.78679382801055908</v>
      </c>
      <c r="BC12" s="17">
        <v>1.1949649080634117E-2</v>
      </c>
      <c r="BE12" s="10">
        <v>0.30357837677001953</v>
      </c>
      <c r="BF12" s="10">
        <v>5.487683042883873E-2</v>
      </c>
      <c r="BG12" s="10">
        <v>0.29560708999633789</v>
      </c>
      <c r="BH12" s="10">
        <v>5.6465364992618561E-2</v>
      </c>
    </row>
    <row r="13" spans="2:62" x14ac:dyDescent="0.3">
      <c r="B13">
        <v>2013</v>
      </c>
      <c r="C13" s="12">
        <v>0.53930413722991943</v>
      </c>
      <c r="D13" s="12">
        <v>7.9249078407883644E-3</v>
      </c>
      <c r="E13" s="12">
        <v>0.31641113758087158</v>
      </c>
      <c r="F13" s="12">
        <v>4.1877269744873047E-2</v>
      </c>
      <c r="G13" s="12">
        <v>0.31205591559410095</v>
      </c>
      <c r="H13" s="12">
        <v>3.897693008184433E-2</v>
      </c>
      <c r="I13" s="16"/>
      <c r="J13" s="12">
        <v>0.53792250156402588</v>
      </c>
      <c r="K13" s="12">
        <v>4.7182561829686165E-3</v>
      </c>
      <c r="L13" s="12">
        <v>0.46041575074195862</v>
      </c>
      <c r="M13" s="12">
        <v>2.730974555015564E-2</v>
      </c>
      <c r="N13" s="12">
        <v>0.50545752048492432</v>
      </c>
      <c r="O13" s="12">
        <v>2.0477920770645142E-2</v>
      </c>
      <c r="P13" s="16"/>
      <c r="Q13" s="12">
        <v>0.53732699155807495</v>
      </c>
      <c r="R13" s="12">
        <v>4.2502242140471935E-3</v>
      </c>
      <c r="S13" s="12">
        <v>0.39075040817260742</v>
      </c>
      <c r="T13" s="12">
        <v>2.6453509926795959E-2</v>
      </c>
      <c r="U13" s="12">
        <v>0.4226413369178772</v>
      </c>
      <c r="V13" s="12">
        <v>1.6584202647209167E-2</v>
      </c>
      <c r="W13" s="16"/>
      <c r="X13" s="16"/>
      <c r="Y13" s="12">
        <v>-3.3112792880274355E-4</v>
      </c>
      <c r="Z13" s="12">
        <v>1.0157965123653412E-2</v>
      </c>
      <c r="AA13" s="12">
        <v>0.34350401163101196</v>
      </c>
      <c r="AB13" s="12">
        <v>8.5696326568722725E-3</v>
      </c>
      <c r="AC13" s="12">
        <v>0.91235041618347168</v>
      </c>
      <c r="AD13" s="12">
        <v>1.4682082459330559E-2</v>
      </c>
      <c r="AE13" s="16"/>
      <c r="AF13" s="12">
        <v>0.1896975189447403</v>
      </c>
      <c r="AG13" s="12">
        <v>5.8919824659824371E-2</v>
      </c>
      <c r="AH13" s="12">
        <v>0.21133366227149963</v>
      </c>
      <c r="AI13" s="12">
        <v>5.359780415892601E-2</v>
      </c>
      <c r="AJ13" s="16"/>
      <c r="AK13" s="12">
        <v>9.8446942865848541E-2</v>
      </c>
      <c r="AL13" s="12">
        <v>3.3947154879570007E-2</v>
      </c>
      <c r="AM13" s="12">
        <v>9.6019566059112549E-2</v>
      </c>
      <c r="AN13" s="12">
        <v>3.5666115581989288E-2</v>
      </c>
      <c r="AO13" s="16"/>
      <c r="AP13" s="12">
        <v>0.10342872887849808</v>
      </c>
      <c r="AQ13" s="12">
        <v>1.9900111481547356E-2</v>
      </c>
      <c r="AR13" s="12">
        <v>0.11078888177871704</v>
      </c>
      <c r="AS13" s="12">
        <v>2.4392537772655487E-2</v>
      </c>
      <c r="AT13" s="16"/>
      <c r="AU13" s="12">
        <v>-4.2559623718261719E-2</v>
      </c>
      <c r="AV13" s="12">
        <v>1.3956625014543533E-2</v>
      </c>
      <c r="AW13" s="12">
        <v>-5.5673792958259583E-2</v>
      </c>
      <c r="AX13" s="12">
        <v>1.1065315455198288E-2</v>
      </c>
      <c r="AY13" s="16"/>
      <c r="AZ13" s="17">
        <v>0.34304755926132202</v>
      </c>
      <c r="BA13" s="17">
        <v>5.5036507546901703E-3</v>
      </c>
      <c r="BB13" s="17">
        <v>0.91189390420913696</v>
      </c>
      <c r="BC13" s="17">
        <v>1.2506484054028988E-2</v>
      </c>
      <c r="BE13" s="10">
        <v>9.7863830626010895E-2</v>
      </c>
      <c r="BF13" s="10">
        <v>4.5906521379947662E-2</v>
      </c>
      <c r="BG13" s="10">
        <v>0.11856567859649658</v>
      </c>
      <c r="BH13" s="10">
        <v>5.7406194508075714E-2</v>
      </c>
    </row>
    <row r="14" spans="2:62" x14ac:dyDescent="0.3">
      <c r="B14">
        <v>2014</v>
      </c>
      <c r="C14" s="21">
        <v>0.53889292478561401</v>
      </c>
      <c r="D14" s="21">
        <v>7.3369652964174747E-3</v>
      </c>
      <c r="E14" s="21">
        <v>0.33299994468688965</v>
      </c>
      <c r="F14" s="21">
        <v>4.9448695033788681E-2</v>
      </c>
      <c r="G14" s="21">
        <v>0.27568086981773376</v>
      </c>
      <c r="H14" s="21">
        <v>3.8941368460655212E-2</v>
      </c>
      <c r="I14" s="21"/>
      <c r="J14" s="21">
        <v>0.54350638389587402</v>
      </c>
      <c r="K14" s="21">
        <v>5.7843583635985851E-3</v>
      </c>
      <c r="L14" s="21">
        <v>0.43511652946472168</v>
      </c>
      <c r="M14" s="21">
        <v>2.831326425075531E-2</v>
      </c>
      <c r="N14" s="21">
        <v>0.50763159990310669</v>
      </c>
      <c r="O14" s="21">
        <v>1.5602023340761662E-2</v>
      </c>
      <c r="P14" s="21"/>
      <c r="Q14" s="21">
        <v>0.5415993332862854</v>
      </c>
      <c r="R14" s="21">
        <v>4.0298714302480221E-3</v>
      </c>
      <c r="S14" s="21">
        <v>0.37783592939376831</v>
      </c>
      <c r="T14" s="21">
        <v>2.3965785279870033E-2</v>
      </c>
      <c r="U14" s="21">
        <v>0.41547107696533203</v>
      </c>
      <c r="V14" s="21">
        <v>1.5781749039888382E-2</v>
      </c>
      <c r="W14" s="21"/>
      <c r="X14" s="21"/>
      <c r="Y14" s="21">
        <v>2.3645840585231781E-2</v>
      </c>
      <c r="Z14" s="21">
        <v>8.9019974693655968E-3</v>
      </c>
      <c r="AA14" s="21">
        <v>0.25939220190048218</v>
      </c>
      <c r="AB14" s="21">
        <v>8.1009622663259506E-3</v>
      </c>
      <c r="AC14" s="21">
        <v>0.89708513021469116</v>
      </c>
      <c r="AD14" s="21">
        <v>1.4270288869738579E-2</v>
      </c>
      <c r="AE14" s="21"/>
      <c r="AF14" s="21">
        <v>0.1659926176071167</v>
      </c>
      <c r="AG14" s="21">
        <v>8.0501340329647064E-2</v>
      </c>
      <c r="AH14" s="21">
        <v>0.17646592855453491</v>
      </c>
      <c r="AI14" s="21">
        <v>5.5423460900783539E-2</v>
      </c>
      <c r="AJ14" s="21"/>
      <c r="AK14" s="21">
        <v>4.7835227102041245E-2</v>
      </c>
      <c r="AL14" s="21">
        <v>3.5165846347808838E-2</v>
      </c>
      <c r="AM14" s="21">
        <v>6.1006385833024979E-2</v>
      </c>
      <c r="AN14" s="21">
        <v>3.4435480833053589E-2</v>
      </c>
      <c r="AO14" s="21"/>
      <c r="AP14" s="21">
        <v>7.7038921415805817E-2</v>
      </c>
      <c r="AQ14" s="21">
        <v>2.389807440340519E-2</v>
      </c>
      <c r="AR14" s="21">
        <v>0.10204235464334488</v>
      </c>
      <c r="AS14" s="21">
        <v>1.7559479922056198E-2</v>
      </c>
      <c r="AT14" s="21"/>
      <c r="AU14" s="21">
        <v>-4.8840999603271484E-2</v>
      </c>
      <c r="AV14" s="21">
        <v>1.4750977046787739E-2</v>
      </c>
      <c r="AW14" s="21">
        <v>-8.0509215593338013E-2</v>
      </c>
      <c r="AX14" s="21">
        <v>9.6326135098934174E-3</v>
      </c>
      <c r="AY14" s="21"/>
      <c r="AZ14" s="24">
        <v>0.27603849768638611</v>
      </c>
      <c r="BA14" s="24">
        <v>4.9135880544781685E-3</v>
      </c>
      <c r="BB14" s="24">
        <v>0.91373145580291748</v>
      </c>
      <c r="BC14" s="24">
        <v>1.1331851594150066E-2</v>
      </c>
      <c r="BD14" s="21"/>
      <c r="BE14" s="23">
        <v>0.16529195010662079</v>
      </c>
      <c r="BF14" s="23">
        <v>5.2488166838884354E-2</v>
      </c>
      <c r="BG14" s="23">
        <v>0.19959187507629395</v>
      </c>
      <c r="BH14" s="23">
        <v>5.0488132983446121E-2</v>
      </c>
    </row>
    <row r="15" spans="2:62" x14ac:dyDescent="0.3">
      <c r="B15">
        <v>2015</v>
      </c>
      <c r="C15" s="21">
        <v>0.51517719030380249</v>
      </c>
      <c r="D15" s="21">
        <v>7.3728291317820549E-3</v>
      </c>
      <c r="E15" s="21">
        <v>0.32924926280975342</v>
      </c>
      <c r="F15" s="21">
        <v>3.4029066562652588E-2</v>
      </c>
      <c r="G15" s="21">
        <v>0.32236409187316895</v>
      </c>
      <c r="H15" s="21">
        <v>4.0116138756275177E-2</v>
      </c>
      <c r="I15" s="21"/>
      <c r="J15" s="21">
        <v>0.529377281665802</v>
      </c>
      <c r="K15" s="21">
        <v>5.6695397943258286E-3</v>
      </c>
      <c r="L15" s="21">
        <v>0.43818375468254089</v>
      </c>
      <c r="M15" s="21">
        <v>3.3654976636171341E-2</v>
      </c>
      <c r="N15" s="21">
        <v>0.50443106889724731</v>
      </c>
      <c r="O15" s="21">
        <v>1.8459763377904892E-2</v>
      </c>
      <c r="P15" s="21"/>
      <c r="Q15" s="21">
        <v>0.52408683300018311</v>
      </c>
      <c r="R15" s="21">
        <v>3.3026053570210934E-3</v>
      </c>
      <c r="S15" s="21">
        <v>0.39432409405708313</v>
      </c>
      <c r="T15" s="21">
        <v>2.7094237506389618E-2</v>
      </c>
      <c r="U15" s="21">
        <v>0.43603870272636414</v>
      </c>
      <c r="V15" s="21">
        <v>1.8942330032587051E-2</v>
      </c>
      <c r="W15" s="21"/>
      <c r="X15" s="21"/>
      <c r="Y15" s="21">
        <v>1.6146440058946609E-2</v>
      </c>
      <c r="Z15" s="21">
        <v>8.5084252059459686E-3</v>
      </c>
      <c r="AA15" s="21">
        <v>0.37972241640090942</v>
      </c>
      <c r="AB15" s="21">
        <v>7.0045869797468185E-3</v>
      </c>
      <c r="AC15" s="21">
        <v>1.0482933521270752</v>
      </c>
      <c r="AD15" s="21">
        <v>1.4546687714755535E-2</v>
      </c>
      <c r="AE15" s="21"/>
      <c r="AF15" s="21">
        <v>0.20900203287601471</v>
      </c>
      <c r="AG15" s="21">
        <v>6.4359277486801147E-2</v>
      </c>
      <c r="AH15" s="21">
        <v>0.26410180330276489</v>
      </c>
      <c r="AI15" s="21">
        <v>5.1637750118970871E-2</v>
      </c>
      <c r="AJ15" s="21"/>
      <c r="AK15" s="21">
        <v>6.0805398970842361E-2</v>
      </c>
      <c r="AL15" s="21">
        <v>3.8838684558868408E-2</v>
      </c>
      <c r="AM15" s="21">
        <v>0.10457109659910202</v>
      </c>
      <c r="AN15" s="21">
        <v>3.5231161862611771E-2</v>
      </c>
      <c r="AO15" s="21"/>
      <c r="AP15" s="21">
        <v>7.470211386680603E-2</v>
      </c>
      <c r="AQ15" s="21">
        <v>2.5162730365991592E-2</v>
      </c>
      <c r="AR15" s="21">
        <v>9.0319618582725525E-2</v>
      </c>
      <c r="AS15" s="21">
        <v>2.6139171794056892E-2</v>
      </c>
      <c r="AT15" s="21"/>
      <c r="AU15" s="21">
        <v>-4.5343399047851563E-2</v>
      </c>
      <c r="AV15" s="21">
        <v>1.2868551537394524E-2</v>
      </c>
      <c r="AW15" s="21">
        <v>-6.6853687167167664E-2</v>
      </c>
      <c r="AX15" s="21">
        <v>1.0902976617217064E-2</v>
      </c>
      <c r="AY15" s="21"/>
      <c r="AZ15" s="24">
        <v>0.39182242751121521</v>
      </c>
      <c r="BA15" s="24">
        <v>5.2250265143811703E-3</v>
      </c>
      <c r="BB15" s="24">
        <v>1.0603934526443481</v>
      </c>
      <c r="BC15" s="24">
        <v>1.3166622258722782E-2</v>
      </c>
      <c r="BD15" s="21"/>
      <c r="BE15" s="23">
        <v>9.8977036774158478E-2</v>
      </c>
      <c r="BF15" s="23">
        <v>6.2954001128673553E-2</v>
      </c>
      <c r="BG15" s="23">
        <v>0.18012568354606628</v>
      </c>
      <c r="BH15" s="23">
        <v>5.5405359715223312E-2</v>
      </c>
    </row>
    <row r="16" spans="2:62" x14ac:dyDescent="0.3">
      <c r="B16">
        <v>2016</v>
      </c>
      <c r="C16" s="21">
        <v>0.53282713890075684</v>
      </c>
      <c r="D16" s="21">
        <v>6.7086620256304741E-3</v>
      </c>
      <c r="E16" s="21">
        <v>0.33523586392402649</v>
      </c>
      <c r="F16" s="21">
        <v>6.5398328006267548E-2</v>
      </c>
      <c r="G16" s="21">
        <v>0.34198543429374695</v>
      </c>
      <c r="H16" s="21">
        <v>3.4068331122398376E-2</v>
      </c>
      <c r="I16" s="21"/>
      <c r="J16" s="21">
        <v>0.52335292100906372</v>
      </c>
      <c r="K16" s="21">
        <v>4.292159341275692E-3</v>
      </c>
      <c r="L16" s="21">
        <v>0.46580615639686584</v>
      </c>
      <c r="M16" s="21">
        <v>2.9413992539048195E-2</v>
      </c>
      <c r="N16" s="21">
        <v>0.49275112152099609</v>
      </c>
      <c r="O16" s="21">
        <v>1.7820855602622032E-2</v>
      </c>
      <c r="P16" s="21"/>
      <c r="Q16" s="21">
        <v>0.52467304468154907</v>
      </c>
      <c r="R16" s="21">
        <v>4.1775745339691639E-3</v>
      </c>
      <c r="S16" s="21">
        <v>0.4071689248085022</v>
      </c>
      <c r="T16" s="21">
        <v>2.7840223163366318E-2</v>
      </c>
      <c r="U16" s="21">
        <v>0.42197838425636292</v>
      </c>
      <c r="V16" s="21">
        <v>1.5905214473605156E-2</v>
      </c>
      <c r="W16" s="21"/>
      <c r="X16" s="21"/>
      <c r="Y16" s="21">
        <v>3.1623717397451401E-2</v>
      </c>
      <c r="Z16" s="21">
        <v>9.7155766561627388E-3</v>
      </c>
      <c r="AA16" s="21">
        <v>0.35644134879112244</v>
      </c>
      <c r="AB16" s="21">
        <v>7.5011826120316982E-3</v>
      </c>
      <c r="AC16" s="21">
        <v>1.1654003858566284</v>
      </c>
      <c r="AD16" s="21">
        <v>1.3399324379861355E-2</v>
      </c>
      <c r="AE16" s="21"/>
      <c r="AF16" s="21">
        <v>0.19891667366027832</v>
      </c>
      <c r="AG16" s="21">
        <v>6.9144241511821747E-2</v>
      </c>
      <c r="AH16" s="21">
        <v>0.22300426661968231</v>
      </c>
      <c r="AI16" s="21">
        <v>5.3208224475383759E-2</v>
      </c>
      <c r="AJ16" s="21"/>
      <c r="AK16" s="21">
        <v>0.10361844301223755</v>
      </c>
      <c r="AL16" s="21">
        <v>3.9503749459981918E-2</v>
      </c>
      <c r="AM16" s="21">
        <v>0.11805290728807449</v>
      </c>
      <c r="AN16" s="21">
        <v>3.5837270319461823E-2</v>
      </c>
      <c r="AO16" s="21"/>
      <c r="AP16" s="21">
        <v>9.6563488245010376E-2</v>
      </c>
      <c r="AQ16" s="21">
        <v>2.2591160610318184E-2</v>
      </c>
      <c r="AR16" s="21">
        <v>9.5119893550872803E-2</v>
      </c>
      <c r="AS16" s="21">
        <v>2.1818347275257111E-2</v>
      </c>
      <c r="AT16" s="21"/>
      <c r="AU16" s="21">
        <v>0</v>
      </c>
      <c r="AV16" s="21">
        <v>7.2878515347838402E-3</v>
      </c>
      <c r="AW16" s="21">
        <v>-5.4622039198875427E-2</v>
      </c>
      <c r="AX16" s="21">
        <v>1.1793435551226139E-2</v>
      </c>
      <c r="AY16" s="21"/>
      <c r="AZ16" s="24">
        <v>0.37929841876029968</v>
      </c>
      <c r="BA16" s="24">
        <v>5.0314776599407196E-3</v>
      </c>
      <c r="BB16" s="24">
        <v>1.1882574558258057</v>
      </c>
      <c r="BC16" s="24">
        <v>1.4028085395693779E-2</v>
      </c>
      <c r="BD16" s="21"/>
      <c r="BE16" s="23">
        <v>0.10166356712579727</v>
      </c>
      <c r="BF16" s="23">
        <v>4.4879056513309479E-2</v>
      </c>
      <c r="BG16" s="23">
        <v>0.14306597411632538</v>
      </c>
      <c r="BH16" s="23">
        <v>5.9703510254621506E-2</v>
      </c>
    </row>
    <row r="17" spans="2:60" x14ac:dyDescent="0.3">
      <c r="B17">
        <v>2017</v>
      </c>
      <c r="C17" s="21">
        <v>0.52267080545425415</v>
      </c>
      <c r="D17" s="21">
        <v>8.215184323489666E-3</v>
      </c>
      <c r="E17" s="21">
        <v>0.28741934895515442</v>
      </c>
      <c r="F17" s="21">
        <v>4.5585606247186661E-2</v>
      </c>
      <c r="G17" s="21">
        <v>0.32467904686927795</v>
      </c>
      <c r="H17" s="21">
        <v>3.6630302667617798E-2</v>
      </c>
      <c r="I17" s="21"/>
      <c r="J17" s="21">
        <v>0.52646714448928833</v>
      </c>
      <c r="K17" s="21">
        <v>5.4057491943240166E-3</v>
      </c>
      <c r="L17" s="21">
        <v>0.47901618480682373</v>
      </c>
      <c r="M17" s="21">
        <v>3.1044391915202141E-2</v>
      </c>
      <c r="N17" s="21">
        <v>0.50120693445205688</v>
      </c>
      <c r="O17" s="21">
        <v>1.9324222579598427E-2</v>
      </c>
      <c r="P17" s="21"/>
      <c r="Q17" s="21">
        <v>0.52528923749923706</v>
      </c>
      <c r="R17" s="21">
        <v>4.344218410551548E-3</v>
      </c>
      <c r="S17" s="21">
        <v>0.39837658405303955</v>
      </c>
      <c r="T17" s="21">
        <v>2.9925355687737465E-2</v>
      </c>
      <c r="U17" s="21">
        <v>0.42149248719215393</v>
      </c>
      <c r="V17" s="21">
        <v>1.5860497951507568E-2</v>
      </c>
      <c r="W17" s="21"/>
      <c r="X17" s="21"/>
      <c r="Y17" s="21">
        <v>4.9884021282196045E-2</v>
      </c>
      <c r="Z17" s="21">
        <v>9.9633699283003807E-3</v>
      </c>
      <c r="AA17" s="21">
        <v>0.44762995839118958</v>
      </c>
      <c r="AB17" s="21">
        <v>5.6964308023452759E-3</v>
      </c>
      <c r="AC17" s="21">
        <v>1.1846915483474731</v>
      </c>
      <c r="AD17" s="21">
        <v>1.8828544765710831E-2</v>
      </c>
      <c r="AE17" s="21"/>
      <c r="AF17" s="21">
        <v>0.11859993636608124</v>
      </c>
      <c r="AG17" s="21">
        <v>9.9056467413902283E-2</v>
      </c>
      <c r="AH17" s="21">
        <v>0.18655332922935486</v>
      </c>
      <c r="AI17" s="21">
        <v>5.7390663772821426E-2</v>
      </c>
      <c r="AJ17" s="21"/>
      <c r="AK17" s="21">
        <v>0.11032366007566452</v>
      </c>
      <c r="AL17" s="21">
        <v>3.9263162761926651E-2</v>
      </c>
      <c r="AM17" s="21">
        <v>9.356313943862915E-2</v>
      </c>
      <c r="AN17" s="21">
        <v>3.4899231046438217E-2</v>
      </c>
      <c r="AO17" s="21"/>
      <c r="AP17" s="21">
        <v>0.10637461394071579</v>
      </c>
      <c r="AQ17" s="21">
        <v>2.5068880990147591E-2</v>
      </c>
      <c r="AR17" s="21">
        <v>9.0713918209075928E-2</v>
      </c>
      <c r="AS17" s="21">
        <v>2.9869833961129189E-2</v>
      </c>
      <c r="AT17" s="21"/>
      <c r="AU17" s="21">
        <v>-7.7218055725097656E-2</v>
      </c>
      <c r="AV17" s="21">
        <v>1.0615026578307152E-2</v>
      </c>
      <c r="AW17" s="21">
        <v>-7.612898200750351E-2</v>
      </c>
      <c r="AX17" s="21">
        <v>1.0953380726277828E-2</v>
      </c>
      <c r="AY17" s="21"/>
      <c r="AZ17" s="21">
        <v>0.48241144418716431</v>
      </c>
      <c r="BA17" s="21">
        <v>5.1541291177272797E-3</v>
      </c>
      <c r="BB17" s="21">
        <v>1.219473123550415</v>
      </c>
      <c r="BC17" s="21">
        <v>1.5379165299236774E-2</v>
      </c>
      <c r="BD17" s="21"/>
      <c r="BE17" s="21">
        <v>0.13337433338165283</v>
      </c>
      <c r="BF17" s="21">
        <v>4.7729309648275375E-2</v>
      </c>
      <c r="BG17" s="21">
        <v>0.20162095129489899</v>
      </c>
      <c r="BH17" s="21">
        <v>4.6480473130941391E-2</v>
      </c>
    </row>
    <row r="18" spans="2:60" x14ac:dyDescent="0.3">
      <c r="B18">
        <v>2018</v>
      </c>
      <c r="C18" s="33">
        <v>0.56458908319473267</v>
      </c>
      <c r="D18" s="33">
        <v>8.7158363312482834E-3</v>
      </c>
      <c r="E18" s="33">
        <v>0.44601991772651672</v>
      </c>
      <c r="F18" s="33">
        <v>7.7500954270362854E-2</v>
      </c>
      <c r="G18" s="33">
        <v>0.40661412477493286</v>
      </c>
      <c r="H18" s="33">
        <v>3.0202906578779221E-2</v>
      </c>
      <c r="I18" s="33"/>
      <c r="J18" s="33">
        <v>0.54140782356262207</v>
      </c>
      <c r="K18" s="33">
        <v>5.1570925861597061E-3</v>
      </c>
      <c r="L18" s="33">
        <v>0.63580405712127686</v>
      </c>
      <c r="M18" s="33">
        <v>5.5089369416236877E-2</v>
      </c>
      <c r="N18" s="33">
        <v>0.50924199819564819</v>
      </c>
      <c r="O18" s="33">
        <v>2.0064692944288254E-2</v>
      </c>
      <c r="P18" s="33"/>
      <c r="Q18" s="33">
        <v>0.54171741008758545</v>
      </c>
      <c r="R18" s="33">
        <v>5.6179617531597614E-3</v>
      </c>
      <c r="S18" s="33">
        <v>0.55104333162307739</v>
      </c>
      <c r="T18" s="33">
        <v>5.0609476864337921E-2</v>
      </c>
      <c r="U18" s="33">
        <v>0.44454991817474365</v>
      </c>
      <c r="V18" s="33">
        <v>1.4350694604218006E-2</v>
      </c>
      <c r="W18" s="33"/>
      <c r="X18" s="33"/>
      <c r="Y18" s="33">
        <v>4.9913078546524048E-2</v>
      </c>
      <c r="Z18" s="33">
        <v>8.1577291712164879E-3</v>
      </c>
      <c r="AA18" s="33">
        <v>0.4992462694644928</v>
      </c>
      <c r="AB18" s="33">
        <v>8.358050137758255E-3</v>
      </c>
      <c r="AC18" s="33">
        <v>1.1955074071884155</v>
      </c>
      <c r="AD18" s="33">
        <v>1.442037895321846E-2</v>
      </c>
      <c r="AE18" s="33"/>
      <c r="AF18" s="33">
        <v>0.20651020109653473</v>
      </c>
      <c r="AG18" s="33">
        <v>5.2555374801158905E-2</v>
      </c>
      <c r="AH18" s="33">
        <v>0.22074535489082336</v>
      </c>
      <c r="AI18" s="33">
        <v>5.3524985909461975E-2</v>
      </c>
      <c r="AJ18" s="33"/>
      <c r="AK18" s="33">
        <v>1.4013145118951797E-2</v>
      </c>
      <c r="AL18" s="33">
        <v>4.6257205307483673E-2</v>
      </c>
      <c r="AM18" s="33">
        <v>1.3275908306241035E-2</v>
      </c>
      <c r="AN18" s="33">
        <v>4.4915474951267242E-2</v>
      </c>
      <c r="AO18" s="33"/>
      <c r="AP18" s="33">
        <v>5.888139083981514E-2</v>
      </c>
      <c r="AQ18" s="33">
        <v>2.2313620895147324E-2</v>
      </c>
      <c r="AR18" s="33">
        <v>7.6069653034210205E-2</v>
      </c>
      <c r="AS18" s="33">
        <v>2.4731360375881195E-2</v>
      </c>
      <c r="AT18" s="33"/>
      <c r="AU18" s="33">
        <v>-5.9661865234375E-2</v>
      </c>
      <c r="AV18" s="33">
        <v>1.6099292784929276E-2</v>
      </c>
      <c r="AW18" s="33">
        <v>-5.8281637728214264E-2</v>
      </c>
      <c r="AX18" s="33">
        <v>1.1825326830148697E-2</v>
      </c>
      <c r="AY18" s="33"/>
      <c r="AZ18" s="33">
        <v>0.53779345750808716</v>
      </c>
      <c r="BA18" s="33">
        <v>4.385767038911581E-3</v>
      </c>
      <c r="BB18" s="33">
        <v>1.2340545654296875</v>
      </c>
      <c r="BC18" s="33">
        <v>1.5564221888780594E-2</v>
      </c>
      <c r="BD18" s="33"/>
      <c r="BE18" s="33">
        <v>0.10557354241609573</v>
      </c>
      <c r="BF18" s="33">
        <v>5.1470886915922165E-2</v>
      </c>
      <c r="BG18" s="33">
        <v>0.1715148389339447</v>
      </c>
      <c r="BH18" s="33">
        <v>5.4206069558858871E-2</v>
      </c>
    </row>
    <row r="19" spans="2:60" x14ac:dyDescent="0.3">
      <c r="B19">
        <v>2019</v>
      </c>
      <c r="C19" s="21">
        <v>0.50204569101333618</v>
      </c>
      <c r="D19" s="21">
        <v>6.8790814839303493E-3</v>
      </c>
      <c r="E19" s="21">
        <v>0.3307650089263916</v>
      </c>
      <c r="F19" s="21">
        <v>7.043958455324173E-2</v>
      </c>
      <c r="G19" s="21">
        <v>0.30181190371513367</v>
      </c>
      <c r="H19" s="21">
        <v>3.197004646062851E-2</v>
      </c>
      <c r="I19" s="21"/>
      <c r="J19" s="21">
        <v>0.5366513729095459</v>
      </c>
      <c r="K19" s="21">
        <v>5.2701090462505817E-3</v>
      </c>
      <c r="L19" s="21">
        <v>0.58292686939239502</v>
      </c>
      <c r="M19" s="21">
        <v>5.9923376888036728E-2</v>
      </c>
      <c r="N19" s="21">
        <v>0.50816804170608521</v>
      </c>
      <c r="O19" s="21">
        <v>1.6645669937133789E-2</v>
      </c>
      <c r="P19" s="21"/>
      <c r="Q19" s="21">
        <v>0.52797669172286987</v>
      </c>
      <c r="R19" s="21">
        <v>4.6396786347031593E-3</v>
      </c>
      <c r="S19" s="21">
        <v>0.51415121555328369</v>
      </c>
      <c r="T19" s="21">
        <v>5.5684793740510941E-2</v>
      </c>
      <c r="U19" s="21">
        <v>0.42433267831802368</v>
      </c>
      <c r="V19" s="21">
        <v>1.6559494659304619E-2</v>
      </c>
      <c r="W19" s="21"/>
      <c r="X19" s="21"/>
      <c r="Y19" s="21">
        <v>4.8087053000926971E-2</v>
      </c>
      <c r="Z19" s="21">
        <v>9.2734871432185173E-3</v>
      </c>
      <c r="AA19" s="21">
        <v>0.5353538990020752</v>
      </c>
      <c r="AB19" s="21">
        <v>8.7917894124984741E-3</v>
      </c>
      <c r="AC19" s="21">
        <v>1.8063470125198364</v>
      </c>
      <c r="AD19" s="21">
        <v>2.3635189980268478E-2</v>
      </c>
      <c r="AE19" s="21"/>
      <c r="AF19" s="21">
        <v>0.30129221081733704</v>
      </c>
      <c r="AG19" s="21">
        <v>4.8159629106521606E-2</v>
      </c>
      <c r="AH19" s="21">
        <v>0.30335068702697754</v>
      </c>
      <c r="AI19" s="21">
        <v>3.9638228714466095E-2</v>
      </c>
      <c r="AJ19" s="21"/>
      <c r="AK19" s="21">
        <v>-4.7483738511800766E-2</v>
      </c>
      <c r="AL19" s="21">
        <v>4.1943911463022232E-2</v>
      </c>
      <c r="AM19" s="21">
        <v>9.908757172524929E-3</v>
      </c>
      <c r="AN19" s="21">
        <v>5.3692806512117386E-2</v>
      </c>
      <c r="AO19" s="21"/>
      <c r="AP19" s="21">
        <v>1.3102011289447546E-3</v>
      </c>
      <c r="AQ19" s="21">
        <v>3.8826983422040939E-2</v>
      </c>
      <c r="AR19" s="21">
        <v>-1.5016223187558353E-4</v>
      </c>
      <c r="AS19" s="21">
        <v>3.938603401184082E-2</v>
      </c>
      <c r="AT19" s="21"/>
      <c r="AU19" s="21">
        <v>-3.8221359252929688E-2</v>
      </c>
      <c r="AV19" s="21">
        <v>1.1121008545160294E-2</v>
      </c>
      <c r="AW19" s="21">
        <v>-5.796259269118309E-2</v>
      </c>
      <c r="AX19" s="21">
        <v>1.0902315378189087E-2</v>
      </c>
      <c r="AY19" s="21"/>
      <c r="AZ19" s="21">
        <v>0.57079911231994629</v>
      </c>
      <c r="BA19" s="21">
        <v>4.498935304582119E-3</v>
      </c>
      <c r="BB19" s="21">
        <v>1.8417923450469971</v>
      </c>
      <c r="BC19" s="21">
        <v>2.3970184847712517E-2</v>
      </c>
      <c r="BD19" s="21"/>
      <c r="BE19" s="21">
        <v>0.2042306661605835</v>
      </c>
      <c r="BF19" s="21">
        <v>5.826568603515625E-2</v>
      </c>
      <c r="BG19" s="21">
        <v>0.20777744054794312</v>
      </c>
      <c r="BH19" s="21">
        <v>5.1233667880296707E-2</v>
      </c>
    </row>
    <row r="20" spans="2:60" x14ac:dyDescent="0.3">
      <c r="B20">
        <v>2020</v>
      </c>
      <c r="C20" s="21">
        <v>0.53873836994171143</v>
      </c>
      <c r="D20" s="21">
        <v>8.7576135993003845E-3</v>
      </c>
      <c r="E20" s="21">
        <v>0.40454855561256409</v>
      </c>
      <c r="F20" s="21">
        <v>5.4804898798465729E-2</v>
      </c>
      <c r="G20" s="21">
        <v>0.3357079029083252</v>
      </c>
      <c r="H20" s="21">
        <v>3.8786321878433228E-2</v>
      </c>
      <c r="I20" s="21"/>
      <c r="J20" s="21">
        <v>0.53457695245742798</v>
      </c>
      <c r="K20" s="21">
        <v>5.4925000295042992E-3</v>
      </c>
      <c r="L20" s="21">
        <v>0.5244985818862915</v>
      </c>
      <c r="M20" s="21">
        <v>6.4647138118743896E-2</v>
      </c>
      <c r="N20" s="21">
        <v>0.49100244045257568</v>
      </c>
      <c r="O20" s="21">
        <v>1.7866902053356171E-2</v>
      </c>
      <c r="P20" s="21"/>
      <c r="Q20" s="21">
        <v>0.52939575910568237</v>
      </c>
      <c r="R20" s="21">
        <v>4.7465278767049313E-3</v>
      </c>
      <c r="S20" s="21">
        <v>0.47935491800308228</v>
      </c>
      <c r="T20" s="21">
        <v>4.7574590891599655E-2</v>
      </c>
      <c r="U20" s="21">
        <v>0.42678636312484741</v>
      </c>
      <c r="V20" s="21">
        <v>1.5347691252827644E-2</v>
      </c>
      <c r="W20" s="21"/>
      <c r="X20" s="21"/>
      <c r="Y20" s="21">
        <v>8.3656348288059235E-2</v>
      </c>
      <c r="Z20" s="21">
        <v>8.1382617354393005E-3</v>
      </c>
      <c r="AA20" s="21">
        <v>0.59659689664840698</v>
      </c>
      <c r="AB20" s="21">
        <v>9.4985030591487885E-3</v>
      </c>
      <c r="AC20" s="21">
        <v>1.6764888763427734</v>
      </c>
      <c r="AD20" s="21">
        <v>2.7624087408185005E-2</v>
      </c>
      <c r="AE20" s="21"/>
      <c r="AF20" s="21">
        <v>0.50496339797973633</v>
      </c>
      <c r="AG20" s="21">
        <v>0.18703797459602356</v>
      </c>
      <c r="AH20" s="21">
        <v>0.25316226482391357</v>
      </c>
      <c r="AI20" s="21">
        <v>4.7936193645000458E-2</v>
      </c>
      <c r="AJ20" s="21"/>
      <c r="AK20" s="21">
        <v>0.11445043236017227</v>
      </c>
      <c r="AL20" s="21">
        <v>4.105309396982193E-2</v>
      </c>
      <c r="AM20" s="21">
        <v>9.7806565463542938E-2</v>
      </c>
      <c r="AN20" s="21">
        <v>4.7983992844820023E-2</v>
      </c>
      <c r="AO20" s="21"/>
      <c r="AP20" s="21">
        <v>3.8417726755142212E-2</v>
      </c>
      <c r="AQ20" s="21">
        <v>2.7622690424323082E-2</v>
      </c>
      <c r="AR20" s="21">
        <v>1.8262490630149841E-2</v>
      </c>
      <c r="AS20" s="21">
        <v>3.3460304141044617E-2</v>
      </c>
      <c r="AT20" s="21"/>
      <c r="AU20" s="21">
        <v>-3.9020538330078125E-2</v>
      </c>
      <c r="AV20" s="21">
        <v>1.806369423866272E-2</v>
      </c>
      <c r="AW20" s="21">
        <v>-3.3930815756320953E-2</v>
      </c>
      <c r="AX20" s="21">
        <v>1.1738469824194908E-2</v>
      </c>
      <c r="AY20" s="21"/>
      <c r="AZ20" s="21">
        <v>0.66065871715545654</v>
      </c>
      <c r="BA20" s="21">
        <v>4.2338399216532707E-3</v>
      </c>
      <c r="BB20" s="21">
        <v>1.7405506372451782</v>
      </c>
      <c r="BC20" s="21">
        <v>1.9928297027945518E-2</v>
      </c>
      <c r="BD20" s="21"/>
      <c r="BE20" s="21">
        <v>5.1900137215852737E-2</v>
      </c>
      <c r="BF20" s="21">
        <v>7.7578157186508179E-2</v>
      </c>
      <c r="BG20" s="21">
        <v>0.12176801264286041</v>
      </c>
      <c r="BH20" s="21">
        <v>7.2529703378677368E-2</v>
      </c>
    </row>
    <row r="21" spans="2:60" x14ac:dyDescent="0.3">
      <c r="Y21" s="8"/>
    </row>
    <row r="22" spans="2:60" x14ac:dyDescent="0.3">
      <c r="AA22" s="8"/>
      <c r="AC22" s="8"/>
    </row>
  </sheetData>
  <mergeCells count="9">
    <mergeCell ref="BH1:BJ1"/>
    <mergeCell ref="AZ1:BB1"/>
    <mergeCell ref="AP1:AR1"/>
    <mergeCell ref="C1:G1"/>
    <mergeCell ref="J1:N1"/>
    <mergeCell ref="Q1:U1"/>
    <mergeCell ref="Y1:AC1"/>
    <mergeCell ref="AK1:AM1"/>
    <mergeCell ref="AF1:AH1"/>
  </mergeCells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20"/>
  <sheetViews>
    <sheetView workbookViewId="0">
      <selection activeCell="O9" sqref="O9"/>
    </sheetView>
  </sheetViews>
  <sheetFormatPr defaultColWidth="8.77734375" defaultRowHeight="14.4" x14ac:dyDescent="0.3"/>
  <sheetData>
    <row r="1" spans="1:21" x14ac:dyDescent="0.3">
      <c r="B1" s="38" t="s">
        <v>3</v>
      </c>
      <c r="C1" s="38"/>
      <c r="D1" s="38"/>
      <c r="E1" s="38"/>
      <c r="F1" s="38"/>
      <c r="G1" s="38"/>
      <c r="H1" s="38"/>
      <c r="I1" s="38"/>
      <c r="J1" s="38" t="s">
        <v>0</v>
      </c>
      <c r="K1" s="38"/>
      <c r="L1" s="38"/>
      <c r="M1" s="38"/>
      <c r="N1" s="38" t="s">
        <v>6</v>
      </c>
      <c r="O1" s="38"/>
      <c r="P1" s="38"/>
      <c r="Q1" s="38"/>
      <c r="R1" s="38" t="s">
        <v>7</v>
      </c>
      <c r="S1" s="38"/>
      <c r="T1" s="38"/>
      <c r="U1" s="38"/>
    </row>
    <row r="2" spans="1:21" x14ac:dyDescent="0.3">
      <c r="B2" t="s">
        <v>4</v>
      </c>
      <c r="D2" t="s">
        <v>5</v>
      </c>
      <c r="F2" t="s">
        <v>14</v>
      </c>
      <c r="H2" t="s">
        <v>8</v>
      </c>
      <c r="J2" t="s">
        <v>1</v>
      </c>
      <c r="L2" t="s">
        <v>2</v>
      </c>
      <c r="N2" t="s">
        <v>1</v>
      </c>
      <c r="P2" t="s">
        <v>2</v>
      </c>
      <c r="R2" t="s">
        <v>1</v>
      </c>
      <c r="T2" t="s">
        <v>2</v>
      </c>
    </row>
    <row r="3" spans="1:21" x14ac:dyDescent="0.3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1:21" x14ac:dyDescent="0.3">
      <c r="A4">
        <v>2004</v>
      </c>
      <c r="B4" s="15">
        <v>-0.16644476354122162</v>
      </c>
      <c r="C4" s="15">
        <v>2.4291221052408218E-2</v>
      </c>
      <c r="D4" s="15">
        <v>-7.0901185274124146E-2</v>
      </c>
      <c r="E4" s="15">
        <v>1.6231533139944077E-2</v>
      </c>
      <c r="F4" s="15">
        <v>-0.14905960857868195</v>
      </c>
      <c r="G4" s="15">
        <v>1.3270087540149689E-2</v>
      </c>
      <c r="H4" s="15">
        <v>7.1850940585136414E-2</v>
      </c>
      <c r="I4" s="15">
        <v>1.4404536224901676E-2</v>
      </c>
      <c r="J4" s="15">
        <v>-0.15194915235042572</v>
      </c>
      <c r="K4" s="15">
        <v>1.156915444880724E-2</v>
      </c>
      <c r="L4" s="15">
        <v>-5.6405574083328247E-2</v>
      </c>
      <c r="M4" s="15">
        <v>2.7281230315566063E-2</v>
      </c>
      <c r="N4" s="15">
        <v>0.44737353920936584</v>
      </c>
      <c r="O4" s="15">
        <v>1.0023859329521656E-2</v>
      </c>
      <c r="P4" s="15">
        <v>0.51827472448348999</v>
      </c>
      <c r="Q4" s="15">
        <v>1.5089789405465126E-2</v>
      </c>
      <c r="R4" s="15">
        <v>0.4007725715637207</v>
      </c>
      <c r="S4" s="15">
        <v>1.5528257936239243E-2</v>
      </c>
      <c r="T4" s="15">
        <v>0.54352468252182007</v>
      </c>
      <c r="U4" s="15">
        <v>1.8974388018250465E-2</v>
      </c>
    </row>
    <row r="5" spans="1:21" x14ac:dyDescent="0.3">
      <c r="A5">
        <v>2005</v>
      </c>
      <c r="B5" s="12">
        <v>-0.18125295639038086</v>
      </c>
      <c r="C5" s="12">
        <v>2.019970491528511E-2</v>
      </c>
      <c r="D5" s="12">
        <v>-3.7442006170749664E-2</v>
      </c>
      <c r="E5" s="12">
        <v>1.7793992534279823E-2</v>
      </c>
      <c r="F5" s="12">
        <v>-0.12513540685176849</v>
      </c>
      <c r="G5" s="12">
        <v>1.2706587091088295E-2</v>
      </c>
      <c r="H5" s="12">
        <v>0.11826544255018234</v>
      </c>
      <c r="I5" s="12">
        <v>1.4376766048371792E-2</v>
      </c>
      <c r="J5" s="12">
        <v>-0.13622157275676727</v>
      </c>
      <c r="K5" s="12">
        <v>1.1130731552839279E-2</v>
      </c>
      <c r="L5" s="12">
        <v>7.5893783941864967E-3</v>
      </c>
      <c r="M5" s="12">
        <v>2.3069042712450027E-2</v>
      </c>
      <c r="N5" s="12">
        <v>0.47121283411979675</v>
      </c>
      <c r="O5" s="12">
        <v>8.5413465276360512E-3</v>
      </c>
      <c r="P5" s="12">
        <v>0.50865483283996582</v>
      </c>
      <c r="Q5" s="12">
        <v>1.5322915278375149E-2</v>
      </c>
      <c r="R5" s="12">
        <v>0.50300008058547974</v>
      </c>
      <c r="S5" s="12">
        <v>1.6153799369931221E-2</v>
      </c>
      <c r="T5" s="12">
        <v>0.65870755910873413</v>
      </c>
      <c r="U5" s="12">
        <v>1.6469219699501991E-2</v>
      </c>
    </row>
    <row r="6" spans="1:21" x14ac:dyDescent="0.3">
      <c r="A6">
        <v>2006</v>
      </c>
      <c r="B6" s="12">
        <v>-0.11285066604614258</v>
      </c>
      <c r="C6" s="12">
        <v>1.7388805747032166E-2</v>
      </c>
      <c r="D6" s="12">
        <v>1.3794142752885818E-2</v>
      </c>
      <c r="E6" s="12">
        <v>1.9429303705692291E-2</v>
      </c>
      <c r="F6" s="12">
        <v>-7.158186286687851E-2</v>
      </c>
      <c r="G6" s="12">
        <v>1.2070512399077415E-2</v>
      </c>
      <c r="H6" s="12">
        <v>0.11538033932447433</v>
      </c>
      <c r="I6" s="12">
        <v>1.4198159798979759E-2</v>
      </c>
      <c r="J6" s="12">
        <v>-0.1241808608174324</v>
      </c>
      <c r="K6" s="12">
        <v>1.0073945857584476E-2</v>
      </c>
      <c r="L6" s="12">
        <v>2.4639440234750509E-3</v>
      </c>
      <c r="M6" s="12">
        <v>1.881294883787632E-2</v>
      </c>
      <c r="N6" s="12">
        <v>0.41354918479919434</v>
      </c>
      <c r="O6" s="12">
        <v>8.0974521115422249E-3</v>
      </c>
      <c r="P6" s="12">
        <v>0.39975503087043762</v>
      </c>
      <c r="Q6" s="12">
        <v>1.3801034539937973E-2</v>
      </c>
      <c r="R6" s="12">
        <v>0.56164604425430298</v>
      </c>
      <c r="S6" s="12">
        <v>1.5571239404380322E-2</v>
      </c>
      <c r="T6" s="12">
        <v>0.66323226690292358</v>
      </c>
      <c r="U6" s="12">
        <v>1.8584787845611572E-2</v>
      </c>
    </row>
    <row r="7" spans="1:21" x14ac:dyDescent="0.3">
      <c r="A7">
        <v>2007</v>
      </c>
      <c r="B7" s="12">
        <v>-0.13839922845363617</v>
      </c>
      <c r="C7" s="12">
        <v>1.8350459635257721E-2</v>
      </c>
      <c r="D7" s="12">
        <v>-1.4191955327987671E-2</v>
      </c>
      <c r="E7" s="12">
        <v>1.6166253015398979E-2</v>
      </c>
      <c r="F7" s="12">
        <v>-9.5581017434597015E-2</v>
      </c>
      <c r="G7" s="12">
        <v>1.1955242604017258E-2</v>
      </c>
      <c r="H7" s="12">
        <v>0.10724524408578873</v>
      </c>
      <c r="I7" s="12">
        <v>1.8807662650942802E-2</v>
      </c>
      <c r="J7" s="12">
        <v>-0.12115203589200974</v>
      </c>
      <c r="K7" s="12">
        <v>1.0381115600466728E-2</v>
      </c>
      <c r="L7" s="12">
        <v>3.0552363023161888E-3</v>
      </c>
      <c r="M7" s="12">
        <v>2.1659169346094131E-2</v>
      </c>
      <c r="N7" s="12">
        <v>0.31909048557281494</v>
      </c>
      <c r="O7" s="12">
        <v>9.6842516213655472E-3</v>
      </c>
      <c r="P7" s="12">
        <v>0.33328244090080261</v>
      </c>
      <c r="Q7" s="12">
        <v>1.4619952999055386E-2</v>
      </c>
      <c r="R7" s="12">
        <v>0.498411625623703</v>
      </c>
      <c r="S7" s="12">
        <v>1.6697071492671967E-2</v>
      </c>
      <c r="T7" s="12">
        <v>0.61984878778457642</v>
      </c>
      <c r="U7" s="12">
        <v>1.6951814293861389E-2</v>
      </c>
    </row>
    <row r="8" spans="1:21" x14ac:dyDescent="0.3">
      <c r="A8">
        <v>2008</v>
      </c>
      <c r="B8" s="12">
        <v>-0.15379457175731659</v>
      </c>
      <c r="C8" s="12">
        <v>1.7801959067583084E-2</v>
      </c>
      <c r="D8" s="12">
        <v>-2.9791133478283882E-2</v>
      </c>
      <c r="E8" s="12">
        <v>1.3745195232331753E-2</v>
      </c>
      <c r="F8" s="12">
        <v>-0.11044815182685852</v>
      </c>
      <c r="G8" s="12">
        <v>1.0720890946686268E-2</v>
      </c>
      <c r="H8" s="12">
        <v>0.14154902100563049</v>
      </c>
      <c r="I8" s="12">
        <v>1.883997768163681E-2</v>
      </c>
      <c r="J8" s="12">
        <v>-0.1176566481590271</v>
      </c>
      <c r="K8" s="12">
        <v>9.8077021539211273E-3</v>
      </c>
      <c r="L8" s="12">
        <v>6.3467924483120441E-3</v>
      </c>
      <c r="M8" s="12">
        <v>2.0167093724012375E-2</v>
      </c>
      <c r="N8" s="12">
        <v>0.31691613793373108</v>
      </c>
      <c r="O8" s="12">
        <v>8.4322327747941017E-3</v>
      </c>
      <c r="P8" s="12">
        <v>0.34670728445053101</v>
      </c>
      <c r="Q8" s="12">
        <v>1.3653322122991085E-2</v>
      </c>
      <c r="R8" s="12">
        <v>0.55978178977966309</v>
      </c>
      <c r="S8" s="12">
        <v>1.8023207783699036E-2</v>
      </c>
      <c r="T8" s="12">
        <v>0.73112189769744873</v>
      </c>
      <c r="U8" s="12">
        <v>1.6934281215071678E-2</v>
      </c>
    </row>
    <row r="9" spans="1:21" x14ac:dyDescent="0.3">
      <c r="A9">
        <v>2009</v>
      </c>
      <c r="B9" s="12">
        <v>-0.10431526601314545</v>
      </c>
      <c r="C9" s="12">
        <v>1.8993338569998741E-2</v>
      </c>
      <c r="D9" s="12">
        <v>-4.8020318150520325E-2</v>
      </c>
      <c r="E9" s="12">
        <v>2.1843386813998222E-2</v>
      </c>
      <c r="F9" s="12">
        <v>-8.9575715363025665E-2</v>
      </c>
      <c r="G9" s="12">
        <v>1.3557692989706993E-2</v>
      </c>
      <c r="H9" s="12">
        <v>0.14459654688835144</v>
      </c>
      <c r="I9" s="12">
        <v>2.1413948386907578E-2</v>
      </c>
      <c r="J9" s="12">
        <v>-5.9414692223072052E-2</v>
      </c>
      <c r="K9" s="12">
        <v>1.2612595222890377E-2</v>
      </c>
      <c r="L9" s="12">
        <v>-3.1197438947856426E-3</v>
      </c>
      <c r="M9" s="12">
        <v>2.3820552974939346E-2</v>
      </c>
      <c r="N9" s="12">
        <v>0.45770946145057678</v>
      </c>
      <c r="O9" s="12">
        <v>1.2387256138026714E-2</v>
      </c>
      <c r="P9" s="12">
        <v>0.5057297945022583</v>
      </c>
      <c r="Q9" s="12">
        <v>1.8256194889545441E-2</v>
      </c>
      <c r="R9" s="12">
        <v>0.61662882566452026</v>
      </c>
      <c r="S9" s="12">
        <v>1.9422877579927444E-2</v>
      </c>
      <c r="T9" s="12">
        <v>0.80924570560455322</v>
      </c>
      <c r="U9" s="12">
        <v>2.1071469411253929E-2</v>
      </c>
    </row>
    <row r="10" spans="1:21" x14ac:dyDescent="0.3">
      <c r="A10">
        <v>2010</v>
      </c>
      <c r="B10" s="12">
        <v>-0.1006150096654892</v>
      </c>
      <c r="C10" s="12">
        <v>1.6900211572647095E-2</v>
      </c>
      <c r="D10" s="12">
        <v>-3.5175599157810211E-2</v>
      </c>
      <c r="E10" s="12">
        <v>2.0072914659976959E-2</v>
      </c>
      <c r="F10" s="12">
        <v>-7.7303722500801086E-2</v>
      </c>
      <c r="G10" s="12">
        <v>1.226798165589571E-2</v>
      </c>
      <c r="H10" s="12">
        <v>0.13689571619033813</v>
      </c>
      <c r="I10" s="12">
        <v>2.3657046258449554E-2</v>
      </c>
      <c r="J10" s="12">
        <v>-3.0676381662487984E-2</v>
      </c>
      <c r="K10" s="12">
        <v>1.158294640481472E-2</v>
      </c>
      <c r="L10" s="12">
        <v>3.4763030707836151E-2</v>
      </c>
      <c r="M10" s="12">
        <v>2.1718721836805344E-2</v>
      </c>
      <c r="N10" s="12">
        <v>0.29405269026756287</v>
      </c>
      <c r="O10" s="12">
        <v>1.0056410916149616E-2</v>
      </c>
      <c r="P10" s="12">
        <v>0.32922828197479248</v>
      </c>
      <c r="Q10" s="12">
        <v>1.6917729750275612E-2</v>
      </c>
      <c r="R10" s="12">
        <v>0.51548880338668823</v>
      </c>
      <c r="S10" s="12">
        <v>2.2845964878797531E-2</v>
      </c>
      <c r="T10" s="12">
        <v>0.68756008148193359</v>
      </c>
      <c r="U10" s="12">
        <v>1.8480502068996429E-2</v>
      </c>
    </row>
    <row r="11" spans="1:21" x14ac:dyDescent="0.3">
      <c r="A11">
        <v>2011</v>
      </c>
      <c r="B11" s="12">
        <v>-9.4910942018032074E-2</v>
      </c>
      <c r="C11" s="12">
        <v>1.4018942601978779E-2</v>
      </c>
      <c r="D11" s="12">
        <v>-3.3074449747800827E-2</v>
      </c>
      <c r="E11" s="12">
        <v>1.9297404214739799E-2</v>
      </c>
      <c r="F11" s="12">
        <v>-7.4057094752788544E-2</v>
      </c>
      <c r="G11" s="12">
        <v>1.1471401900053024E-2</v>
      </c>
      <c r="H11" s="12">
        <v>0.18267568945884705</v>
      </c>
      <c r="I11" s="12">
        <v>2.4214174598455429E-2</v>
      </c>
      <c r="J11" s="12">
        <v>-3.303353488445282E-2</v>
      </c>
      <c r="K11" s="12">
        <v>1.2920357286930084E-2</v>
      </c>
      <c r="L11" s="12">
        <v>2.8802961111068726E-2</v>
      </c>
      <c r="M11" s="12">
        <v>2.3111797869205475E-2</v>
      </c>
      <c r="N11" s="12">
        <v>0.28806191682815552</v>
      </c>
      <c r="O11" s="12">
        <v>9.5216203480958939E-3</v>
      </c>
      <c r="P11" s="12">
        <v>0.32113638520240784</v>
      </c>
      <c r="Q11" s="12">
        <v>2.0743096247315407E-2</v>
      </c>
      <c r="R11" s="12">
        <v>0.55231481790542603</v>
      </c>
      <c r="S11" s="12">
        <v>2.3779446259140968E-2</v>
      </c>
      <c r="T11" s="12">
        <v>0.76806491613388062</v>
      </c>
      <c r="U11" s="12">
        <v>2.0990693941712379E-2</v>
      </c>
    </row>
    <row r="12" spans="1:21" x14ac:dyDescent="0.3">
      <c r="A12">
        <v>2012</v>
      </c>
      <c r="B12" s="12">
        <v>-7.4354358017444611E-2</v>
      </c>
      <c r="C12" s="12">
        <v>1.5797983855009079E-2</v>
      </c>
      <c r="D12" s="12">
        <v>-2.6166558265686035E-2</v>
      </c>
      <c r="E12" s="12">
        <v>1.8598640337586403E-2</v>
      </c>
      <c r="F12" s="12">
        <v>-5.4944451898336411E-2</v>
      </c>
      <c r="G12" s="12">
        <v>1.2552188709378242E-2</v>
      </c>
      <c r="H12" s="12">
        <v>0.1630055159330368</v>
      </c>
      <c r="I12" s="12">
        <v>2.635565772652626E-2</v>
      </c>
      <c r="J12" s="12">
        <v>-5.658220499753952E-3</v>
      </c>
      <c r="K12" s="12">
        <v>1.3165108859539032E-2</v>
      </c>
      <c r="L12" s="12">
        <v>4.2529575526714325E-2</v>
      </c>
      <c r="M12" s="12">
        <v>2.377224899828434E-2</v>
      </c>
      <c r="N12" s="12">
        <v>0.2371058464050293</v>
      </c>
      <c r="O12" s="12">
        <v>1.1522139422595501E-2</v>
      </c>
      <c r="P12" s="12">
        <v>0.26327240467071533</v>
      </c>
      <c r="Q12" s="12">
        <v>1.7924346029758453E-2</v>
      </c>
      <c r="R12" s="12">
        <v>0.66026139259338379</v>
      </c>
      <c r="S12" s="12">
        <v>2.4043966084718704E-2</v>
      </c>
      <c r="T12" s="12">
        <v>0.84943348169326782</v>
      </c>
      <c r="U12" s="12">
        <v>2.2960327565670013E-2</v>
      </c>
    </row>
    <row r="13" spans="1:21" x14ac:dyDescent="0.3">
      <c r="A13">
        <v>2013</v>
      </c>
      <c r="B13" s="12">
        <v>-3.272588923573494E-2</v>
      </c>
      <c r="C13" s="12">
        <v>1.6588021069765091E-2</v>
      </c>
      <c r="D13" s="12">
        <v>-2.4756278842687607E-2</v>
      </c>
      <c r="E13" s="12">
        <v>1.801229827105999E-2</v>
      </c>
      <c r="F13" s="12">
        <v>-2.897997573018074E-2</v>
      </c>
      <c r="G13" s="12">
        <v>1.1131107807159424E-2</v>
      </c>
      <c r="H13" s="12">
        <v>0.20985537767410278</v>
      </c>
      <c r="I13" s="12">
        <v>2.8950624167919159E-2</v>
      </c>
      <c r="J13" s="12">
        <v>2.717811381444335E-3</v>
      </c>
      <c r="K13" s="12">
        <v>1.1873470619320869E-2</v>
      </c>
      <c r="L13" s="12">
        <v>1.0687422007322311E-2</v>
      </c>
      <c r="M13" s="12">
        <v>1.784219779074192E-2</v>
      </c>
      <c r="N13" s="12">
        <v>0.33500340580940247</v>
      </c>
      <c r="O13" s="12">
        <v>1.0468637570738792E-2</v>
      </c>
      <c r="P13" s="12">
        <v>0.35975968837738037</v>
      </c>
      <c r="Q13" s="12">
        <v>1.4858742244541645E-2</v>
      </c>
      <c r="R13" s="12">
        <v>0.74558913707733154</v>
      </c>
      <c r="S13" s="12">
        <v>2.8461331501603127E-2</v>
      </c>
      <c r="T13" s="12">
        <v>0.98020076751708984</v>
      </c>
      <c r="U13" s="12">
        <v>2.0281510427594185E-2</v>
      </c>
    </row>
    <row r="14" spans="1:21" x14ac:dyDescent="0.3">
      <c r="A14">
        <v>2014</v>
      </c>
      <c r="B14" s="21">
        <v>-4.6370632946491241E-2</v>
      </c>
      <c r="C14" s="21">
        <v>1.3025416992604733E-2</v>
      </c>
      <c r="D14" s="21">
        <v>5.922242533415556E-3</v>
      </c>
      <c r="E14" s="21">
        <v>1.7282139509916306E-2</v>
      </c>
      <c r="F14" s="21">
        <v>-2.2780055180191994E-2</v>
      </c>
      <c r="G14" s="21">
        <v>1.1376966722309589E-2</v>
      </c>
      <c r="H14" s="21">
        <v>0.17899526655673981</v>
      </c>
      <c r="I14" s="21">
        <v>3.1037623062729836E-2</v>
      </c>
      <c r="J14" s="21">
        <v>1.1327996850013733E-2</v>
      </c>
      <c r="K14" s="21">
        <v>1.1538189835846424E-2</v>
      </c>
      <c r="L14" s="21">
        <v>6.3620872795581818E-2</v>
      </c>
      <c r="M14" s="21">
        <v>1.7703266814351082E-2</v>
      </c>
      <c r="N14" s="21">
        <v>0.26179754734039307</v>
      </c>
      <c r="O14" s="21">
        <v>9.2300344258546829E-3</v>
      </c>
      <c r="P14" s="21">
        <v>0.25587531924247742</v>
      </c>
      <c r="Q14" s="21">
        <v>1.375214196741581E-2</v>
      </c>
      <c r="R14" s="21">
        <v>0.76427346467971802</v>
      </c>
      <c r="S14" s="21">
        <v>2.4258194491267204E-2</v>
      </c>
      <c r="T14" s="21">
        <v>0.93734645843505859</v>
      </c>
      <c r="U14" s="21">
        <v>2.11943369358778E-2</v>
      </c>
    </row>
    <row r="15" spans="1:21" x14ac:dyDescent="0.3">
      <c r="A15">
        <v>2015</v>
      </c>
      <c r="B15" s="21">
        <v>-1.2489721179008484E-2</v>
      </c>
      <c r="C15" s="21">
        <v>1.2778805568814278E-2</v>
      </c>
      <c r="D15" s="21">
        <v>4.4787810184061527E-3</v>
      </c>
      <c r="E15" s="21">
        <v>1.691729761660099E-2</v>
      </c>
      <c r="F15" s="21">
        <v>-1.4170305803418159E-3</v>
      </c>
      <c r="G15" s="21">
        <v>7.7983513474464417E-3</v>
      </c>
      <c r="H15" s="21">
        <v>0.16205276548862457</v>
      </c>
      <c r="I15" s="21">
        <v>2.7869965881109238E-2</v>
      </c>
      <c r="J15" s="21">
        <v>1.4411571435630322E-2</v>
      </c>
      <c r="K15" s="21">
        <v>1.2514946050941944E-2</v>
      </c>
      <c r="L15" s="21">
        <v>3.1380072236061096E-2</v>
      </c>
      <c r="M15" s="21">
        <v>1.6039600595831871E-2</v>
      </c>
      <c r="N15" s="21">
        <v>0.3802206814289093</v>
      </c>
      <c r="O15" s="21">
        <v>9.6948537975549698E-3</v>
      </c>
      <c r="P15" s="21">
        <v>0.37574189901351929</v>
      </c>
      <c r="Q15" s="21">
        <v>1.3442263007164001E-2</v>
      </c>
      <c r="R15" s="21">
        <v>0.92286562919616699</v>
      </c>
      <c r="S15" s="21">
        <v>2.3330811411142349E-2</v>
      </c>
      <c r="T15" s="21">
        <v>1.0804396867752075</v>
      </c>
      <c r="U15" s="21">
        <v>1.8992455676198006E-2</v>
      </c>
    </row>
    <row r="16" spans="1:21" x14ac:dyDescent="0.3">
      <c r="A16">
        <v>2016</v>
      </c>
      <c r="B16" s="21">
        <v>-3.8893520832061768E-4</v>
      </c>
      <c r="C16" s="21">
        <v>1.1771015822887421E-2</v>
      </c>
      <c r="D16" s="21">
        <v>4.1219010949134827E-2</v>
      </c>
      <c r="E16" s="21">
        <v>1.6720402985811234E-2</v>
      </c>
      <c r="F16" s="21">
        <v>1.7155090346932411E-2</v>
      </c>
      <c r="G16" s="21">
        <v>9.1237388551235199E-3</v>
      </c>
      <c r="H16" s="21">
        <v>0.12322113662958145</v>
      </c>
      <c r="I16" s="21">
        <v>3.0767809599637985E-2</v>
      </c>
      <c r="J16" s="21">
        <v>1.718573085963726E-2</v>
      </c>
      <c r="K16" s="21">
        <v>1.4459541998803616E-2</v>
      </c>
      <c r="L16" s="21">
        <v>5.8793675154447556E-2</v>
      </c>
      <c r="M16" s="21">
        <v>1.7901724204421043E-2</v>
      </c>
      <c r="N16" s="21">
        <v>0.37132269144058228</v>
      </c>
      <c r="O16" s="21">
        <v>1.0286496020853519E-2</v>
      </c>
      <c r="P16" s="21">
        <v>0.33010369539260864</v>
      </c>
      <c r="Q16" s="21">
        <v>1.1093629524111748E-2</v>
      </c>
      <c r="R16" s="21">
        <v>1.0846723318099976</v>
      </c>
      <c r="S16" s="21">
        <v>2.478790283203125E-2</v>
      </c>
      <c r="T16" s="21">
        <v>1.1666743755340576</v>
      </c>
      <c r="U16" s="21">
        <v>1.7250968143343925E-2</v>
      </c>
    </row>
    <row r="17" spans="1:21" x14ac:dyDescent="0.3">
      <c r="A17">
        <v>2017</v>
      </c>
      <c r="B17" s="21">
        <v>-9.163225069642067E-3</v>
      </c>
      <c r="C17" s="21">
        <v>1.0787405073642731E-2</v>
      </c>
      <c r="D17" s="21">
        <v>1.6539683565497398E-2</v>
      </c>
      <c r="E17" s="21">
        <v>1.5605349093675613E-2</v>
      </c>
      <c r="F17" s="21">
        <v>7.6212608255445957E-3</v>
      </c>
      <c r="G17" s="21">
        <v>9.5879733562469482E-3</v>
      </c>
      <c r="H17" s="21">
        <v>0.22305276989936829</v>
      </c>
      <c r="I17" s="21">
        <v>3.3956646919250488E-2</v>
      </c>
      <c r="J17" s="21">
        <v>4.4265661388635635E-2</v>
      </c>
      <c r="K17" s="21">
        <v>1.1537738144397736E-2</v>
      </c>
      <c r="L17" s="21">
        <v>6.9968573749065399E-2</v>
      </c>
      <c r="M17" s="21">
        <v>1.8268601968884468E-2</v>
      </c>
      <c r="N17" s="21">
        <v>0.45193743705749512</v>
      </c>
      <c r="O17" s="21">
        <v>9.6055055037140846E-3</v>
      </c>
      <c r="P17" s="21">
        <v>0.43539777398109436</v>
      </c>
      <c r="Q17" s="21">
        <v>1.1789813637733459E-2</v>
      </c>
      <c r="R17" s="21">
        <v>1.0121415853500366</v>
      </c>
      <c r="S17" s="21">
        <v>2.7337169274687767E-2</v>
      </c>
      <c r="T17" s="21">
        <v>1.2186546325683594</v>
      </c>
      <c r="U17" s="21">
        <v>1.7446156591176987E-2</v>
      </c>
    </row>
    <row r="18" spans="1:21" x14ac:dyDescent="0.3">
      <c r="A18">
        <v>2018</v>
      </c>
      <c r="B18" s="21">
        <v>1.0144519619643688E-2</v>
      </c>
      <c r="C18" s="21">
        <v>1.4553803950548172E-2</v>
      </c>
      <c r="D18" s="21">
        <v>2.7756849303841591E-2</v>
      </c>
      <c r="E18" s="21">
        <v>1.547363493591547E-2</v>
      </c>
      <c r="F18" s="21">
        <v>2.42915078997612E-2</v>
      </c>
      <c r="G18" s="21">
        <v>9.7621465101838112E-3</v>
      </c>
      <c r="H18" s="21">
        <v>0.26021283864974976</v>
      </c>
      <c r="I18" s="21">
        <v>3.8423649966716766E-2</v>
      </c>
      <c r="J18" s="21">
        <v>4.1213583201169968E-2</v>
      </c>
      <c r="K18" s="21">
        <v>1.4371720142662525E-2</v>
      </c>
      <c r="L18" s="21">
        <v>5.8825910091400146E-2</v>
      </c>
      <c r="M18" s="21">
        <v>1.6817742958664894E-2</v>
      </c>
      <c r="N18" s="21">
        <v>0.50976121425628662</v>
      </c>
      <c r="O18" s="21">
        <v>9.3152746558189392E-3</v>
      </c>
      <c r="P18" s="21">
        <v>0.48200437426567078</v>
      </c>
      <c r="Q18" s="21">
        <v>1.6029501333832741E-2</v>
      </c>
      <c r="R18" s="21">
        <v>0.99551928043365479</v>
      </c>
      <c r="S18" s="21">
        <v>3.7894431501626968E-2</v>
      </c>
      <c r="T18" s="21">
        <v>1.2279752492904663</v>
      </c>
      <c r="U18" s="21">
        <v>2.3285340517759323E-2</v>
      </c>
    </row>
    <row r="19" spans="1:21" x14ac:dyDescent="0.3">
      <c r="A19">
        <v>2019</v>
      </c>
      <c r="B19" s="21">
        <v>-2.8466390445828438E-2</v>
      </c>
      <c r="C19" s="21">
        <v>9.7311269491910934E-3</v>
      </c>
      <c r="D19" s="21">
        <v>7.303629070520401E-3</v>
      </c>
      <c r="E19" s="21">
        <v>1.4481366612017155E-2</v>
      </c>
      <c r="F19" s="21">
        <v>-1.2638544663786888E-2</v>
      </c>
      <c r="G19" s="21">
        <v>1.0961045511066914E-2</v>
      </c>
      <c r="H19" s="21">
        <v>0.36310911178588867</v>
      </c>
      <c r="I19" s="21">
        <v>5.384005606174469E-2</v>
      </c>
      <c r="J19" s="21">
        <v>3.7517882883548737E-2</v>
      </c>
      <c r="K19" s="21">
        <v>1.2606539763510227E-2</v>
      </c>
      <c r="L19" s="21">
        <v>7.3287904262542725E-2</v>
      </c>
      <c r="M19" s="21">
        <v>1.5861358493566513E-2</v>
      </c>
      <c r="N19" s="21">
        <v>0.53770118951797485</v>
      </c>
      <c r="O19" s="21">
        <v>1.0227078571915627E-2</v>
      </c>
      <c r="P19" s="21">
        <v>0.53039759397506714</v>
      </c>
      <c r="Q19" s="21">
        <v>1.5149750746786594E-2</v>
      </c>
      <c r="R19" s="21">
        <v>1.5073791742324829</v>
      </c>
      <c r="S19" s="21">
        <v>5.2523549646139145E-2</v>
      </c>
      <c r="T19" s="21">
        <v>1.8623369932174683</v>
      </c>
      <c r="U19" s="21">
        <v>2.6010312139987946E-2</v>
      </c>
    </row>
    <row r="20" spans="1:21" x14ac:dyDescent="0.3">
      <c r="A20">
        <v>2020</v>
      </c>
      <c r="B20" s="21">
        <v>-8.1315552815794945E-3</v>
      </c>
      <c r="C20" s="21">
        <v>1.0213218629360199E-2</v>
      </c>
      <c r="D20" s="21">
        <v>1.2147888774052262E-3</v>
      </c>
      <c r="E20" s="21">
        <v>1.8402388319373131E-2</v>
      </c>
      <c r="F20" s="21">
        <v>1.7538482788950205E-3</v>
      </c>
      <c r="G20" s="21">
        <v>9.4852112233638763E-3</v>
      </c>
      <c r="H20" s="21">
        <v>0.37036618590354919</v>
      </c>
      <c r="I20" s="21">
        <v>5.1791533827781677E-2</v>
      </c>
      <c r="J20" s="21">
        <v>8.2883141934871674E-2</v>
      </c>
      <c r="K20" s="21">
        <v>1.2646796181797981E-2</v>
      </c>
      <c r="L20" s="21">
        <v>9.2229485511779785E-2</v>
      </c>
      <c r="M20" s="21">
        <v>1.5193157829344273E-2</v>
      </c>
      <c r="N20" s="21">
        <v>0.59660071134567261</v>
      </c>
      <c r="O20" s="21">
        <v>1.1049269698560238E-2</v>
      </c>
      <c r="P20" s="21">
        <v>0.59538590908050537</v>
      </c>
      <c r="Q20" s="21">
        <v>1.4431070536375046E-2</v>
      </c>
      <c r="R20" s="21">
        <v>1.3675916194915771</v>
      </c>
      <c r="S20" s="21">
        <v>6.0602623969316483E-2</v>
      </c>
      <c r="T20" s="21">
        <v>1.7367429733276367</v>
      </c>
      <c r="U20" s="21">
        <v>3.0543310567736626E-2</v>
      </c>
    </row>
  </sheetData>
  <mergeCells count="4">
    <mergeCell ref="J1:M1"/>
    <mergeCell ref="N1:Q1"/>
    <mergeCell ref="R1:U1"/>
    <mergeCell ref="B1:I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U21"/>
  <sheetViews>
    <sheetView topLeftCell="A2" workbookViewId="0">
      <selection activeCell="J18" sqref="J18"/>
    </sheetView>
  </sheetViews>
  <sheetFormatPr defaultColWidth="8.77734375" defaultRowHeight="14.4" x14ac:dyDescent="0.3"/>
  <sheetData>
    <row r="1" spans="1:47" x14ac:dyDescent="0.3">
      <c r="C1" s="38" t="s">
        <v>51</v>
      </c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R1" s="38" t="s">
        <v>53</v>
      </c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2"/>
      <c r="AG1" s="38" t="s">
        <v>54</v>
      </c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  <c r="AS1" s="38"/>
      <c r="AT1" s="38"/>
      <c r="AU1" s="2"/>
    </row>
    <row r="2" spans="1:47" x14ac:dyDescent="0.3">
      <c r="C2" t="s">
        <v>39</v>
      </c>
      <c r="E2" t="s">
        <v>40</v>
      </c>
      <c r="G2" t="s">
        <v>49</v>
      </c>
      <c r="I2" s="38" t="s">
        <v>50</v>
      </c>
      <c r="J2" s="38"/>
      <c r="K2" s="38"/>
      <c r="L2" s="38"/>
      <c r="M2" s="38" t="s">
        <v>52</v>
      </c>
      <c r="N2" s="38"/>
      <c r="O2" s="38"/>
      <c r="P2" s="38"/>
      <c r="R2" t="s">
        <v>39</v>
      </c>
      <c r="T2" t="s">
        <v>40</v>
      </c>
      <c r="V2" t="s">
        <v>49</v>
      </c>
      <c r="X2" s="38" t="s">
        <v>50</v>
      </c>
      <c r="Y2" s="38"/>
      <c r="Z2" s="38"/>
      <c r="AA2" s="38"/>
      <c r="AB2" s="38" t="s">
        <v>52</v>
      </c>
      <c r="AC2" s="38"/>
      <c r="AD2" s="38"/>
      <c r="AE2" s="38"/>
      <c r="AF2" s="2"/>
      <c r="AG2" t="s">
        <v>39</v>
      </c>
      <c r="AI2" t="s">
        <v>40</v>
      </c>
      <c r="AK2" t="s">
        <v>49</v>
      </c>
      <c r="AM2" s="38" t="s">
        <v>50</v>
      </c>
      <c r="AN2" s="38"/>
      <c r="AO2" s="38"/>
      <c r="AP2" s="38"/>
      <c r="AQ2" s="38" t="s">
        <v>52</v>
      </c>
      <c r="AR2" s="38"/>
      <c r="AS2" s="38"/>
      <c r="AT2" s="38"/>
      <c r="AU2" s="2"/>
    </row>
    <row r="3" spans="1:47" x14ac:dyDescent="0.3">
      <c r="I3" s="38" t="s">
        <v>41</v>
      </c>
      <c r="J3" s="38"/>
      <c r="K3" s="38" t="s">
        <v>42</v>
      </c>
      <c r="L3" s="38"/>
      <c r="M3" s="38" t="s">
        <v>41</v>
      </c>
      <c r="N3" s="38"/>
      <c r="O3" s="38" t="s">
        <v>42</v>
      </c>
      <c r="P3" s="38"/>
      <c r="X3" s="38" t="s">
        <v>41</v>
      </c>
      <c r="Y3" s="38"/>
      <c r="Z3" s="38" t="s">
        <v>42</v>
      </c>
      <c r="AA3" s="38"/>
      <c r="AB3" s="38" t="s">
        <v>41</v>
      </c>
      <c r="AC3" s="38"/>
      <c r="AD3" s="38" t="s">
        <v>42</v>
      </c>
      <c r="AE3" s="38"/>
      <c r="AM3" s="38" t="s">
        <v>41</v>
      </c>
      <c r="AN3" s="38"/>
      <c r="AO3" s="38" t="s">
        <v>42</v>
      </c>
      <c r="AP3" s="38"/>
      <c r="AQ3" s="38" t="s">
        <v>41</v>
      </c>
      <c r="AR3" s="38"/>
      <c r="AS3" s="38" t="s">
        <v>42</v>
      </c>
      <c r="AT3" s="38"/>
    </row>
    <row r="4" spans="1:47" x14ac:dyDescent="0.3">
      <c r="A4">
        <v>2003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6"/>
    </row>
    <row r="5" spans="1:47" x14ac:dyDescent="0.3">
      <c r="A5">
        <v>2004</v>
      </c>
      <c r="C5" s="13">
        <v>0.72698873281478882</v>
      </c>
      <c r="D5" s="13">
        <v>5.8352355845272541E-3</v>
      </c>
      <c r="E5" s="13">
        <v>0.80552005767822266</v>
      </c>
      <c r="F5" s="13">
        <v>6.6714989952743053E-3</v>
      </c>
      <c r="G5" s="13">
        <v>0.8185504674911499</v>
      </c>
      <c r="H5" s="13">
        <v>5.1142466254532337E-3</v>
      </c>
      <c r="I5" s="13">
        <v>0.98043876886367798</v>
      </c>
      <c r="J5" s="13">
        <v>5.2277051145210862E-4</v>
      </c>
      <c r="K5" s="13">
        <v>0.96671348810195923</v>
      </c>
      <c r="L5" s="13">
        <v>8.5763138486072421E-4</v>
      </c>
      <c r="M5" s="13">
        <v>0.16569611430168152</v>
      </c>
      <c r="N5" s="13">
        <v>9.5503022894263268E-3</v>
      </c>
      <c r="O5" s="13">
        <v>0.22972393035888672</v>
      </c>
      <c r="P5" s="13">
        <v>1.0806657373905182E-2</v>
      </c>
      <c r="Q5" s="14"/>
      <c r="R5" s="13">
        <v>0.41272038221359253</v>
      </c>
      <c r="S5" s="13">
        <v>6.49644760414958E-3</v>
      </c>
      <c r="T5" s="13">
        <v>0.38839709758758545</v>
      </c>
      <c r="U5" s="13">
        <v>5.9526944532990456E-3</v>
      </c>
      <c r="V5" s="13">
        <v>0.84092384576797485</v>
      </c>
      <c r="W5" s="13">
        <v>1.1750540696084499E-2</v>
      </c>
      <c r="X5" s="13">
        <v>0.92525535821914673</v>
      </c>
      <c r="Y5" s="13">
        <v>3.3427022863179445E-3</v>
      </c>
      <c r="Z5" s="13">
        <v>0.85291266441345215</v>
      </c>
      <c r="AA5" s="13">
        <v>6.8856440484523773E-3</v>
      </c>
      <c r="AB5" s="13">
        <v>-0.14017650485038757</v>
      </c>
      <c r="AC5" s="13">
        <v>1.6526702791452408E-2</v>
      </c>
      <c r="AD5" s="13">
        <v>-9.3459732830524445E-2</v>
      </c>
      <c r="AE5" s="13">
        <v>1.7454167827963829E-2</v>
      </c>
      <c r="AF5" s="14"/>
      <c r="AG5" s="13">
        <v>0.7067716121673584</v>
      </c>
      <c r="AH5" s="13">
        <v>1.3143326155841351E-2</v>
      </c>
      <c r="AI5" s="13">
        <v>0.8129504919052124</v>
      </c>
      <c r="AJ5" s="13">
        <v>1.5634169802069664E-2</v>
      </c>
      <c r="AK5" s="13">
        <v>0.85290402173995972</v>
      </c>
      <c r="AL5" s="13">
        <v>1.2698641046881676E-2</v>
      </c>
      <c r="AM5" s="13">
        <v>0.98182970285415649</v>
      </c>
      <c r="AN5" s="13">
        <v>1.2773318449035287E-3</v>
      </c>
      <c r="AO5" s="13">
        <v>0.96842414140701294</v>
      </c>
      <c r="AP5" s="13">
        <v>1.6132589662447572E-3</v>
      </c>
      <c r="AQ5" s="13">
        <v>0.17836034297943115</v>
      </c>
      <c r="AR5" s="13">
        <v>2.2335400804877281E-2</v>
      </c>
      <c r="AS5" s="13">
        <v>0.26526623964309692</v>
      </c>
      <c r="AT5" s="13">
        <v>2.1211506798863411E-2</v>
      </c>
      <c r="AU5" s="7"/>
    </row>
    <row r="6" spans="1:47" x14ac:dyDescent="0.3">
      <c r="A6">
        <v>2005</v>
      </c>
      <c r="C6" s="10">
        <v>0.7310788631439209</v>
      </c>
      <c r="D6" s="10">
        <v>5.5860551074147224E-3</v>
      </c>
      <c r="E6" s="10">
        <v>0.80306702852249146</v>
      </c>
      <c r="F6" s="10">
        <v>5.5558388121426105E-3</v>
      </c>
      <c r="G6" s="10">
        <v>0.82147186994552612</v>
      </c>
      <c r="H6" s="10">
        <v>5.0066430121660233E-3</v>
      </c>
      <c r="I6" s="10">
        <v>0.97999829053878784</v>
      </c>
      <c r="J6" s="10">
        <v>5.1304022781550884E-4</v>
      </c>
      <c r="K6" s="10">
        <v>0.9659767746925354</v>
      </c>
      <c r="L6" s="10">
        <v>1.0180773679167032E-3</v>
      </c>
      <c r="M6" s="10">
        <v>0.20012849569320679</v>
      </c>
      <c r="N6" s="10">
        <v>9.1896811500191689E-3</v>
      </c>
      <c r="O6" s="10">
        <v>0.2589314877986908</v>
      </c>
      <c r="P6" s="10">
        <v>8.7754381820559502E-3</v>
      </c>
      <c r="Q6" s="11"/>
      <c r="R6" s="10">
        <v>0.42080312967300415</v>
      </c>
      <c r="S6" s="10">
        <v>6.1512752436101437E-3</v>
      </c>
      <c r="T6" s="10">
        <v>0.39971435070037842</v>
      </c>
      <c r="U6" s="10">
        <v>5.8481390587985516E-3</v>
      </c>
      <c r="V6" s="10">
        <v>0.81766515970230103</v>
      </c>
      <c r="W6" s="10">
        <v>1.1369368061423302E-2</v>
      </c>
      <c r="X6" s="10">
        <v>0.91630047559738159</v>
      </c>
      <c r="Y6" s="10">
        <v>3.6926253233104944E-3</v>
      </c>
      <c r="Z6" s="10">
        <v>0.85324221849441528</v>
      </c>
      <c r="AA6" s="10">
        <v>6.3311983831226826E-3</v>
      </c>
      <c r="AB6" s="10">
        <v>-2.629818394780159E-2</v>
      </c>
      <c r="AC6" s="10">
        <v>1.6733411699533463E-2</v>
      </c>
      <c r="AD6" s="10">
        <v>2.5221403688192368E-2</v>
      </c>
      <c r="AE6" s="10">
        <v>1.7768887802958488E-2</v>
      </c>
      <c r="AF6" s="11"/>
      <c r="AG6" s="10">
        <v>0.71568965911865234</v>
      </c>
      <c r="AH6" s="10">
        <v>1.3982496224343777E-2</v>
      </c>
      <c r="AI6" s="10">
        <v>0.79907691478729248</v>
      </c>
      <c r="AJ6" s="10">
        <v>1.4570168219506741E-2</v>
      </c>
      <c r="AK6" s="10">
        <v>0.85154622793197632</v>
      </c>
      <c r="AL6" s="10">
        <v>1.1426888406276703E-2</v>
      </c>
      <c r="AM6" s="10">
        <v>0.97995877265930176</v>
      </c>
      <c r="AN6" s="10">
        <v>1.4688560040667653E-3</v>
      </c>
      <c r="AO6" s="10">
        <v>0.96991533041000366</v>
      </c>
      <c r="AP6" s="10">
        <v>1.741238753311336E-3</v>
      </c>
      <c r="AQ6" s="10">
        <v>0.26885867118835449</v>
      </c>
      <c r="AR6" s="10">
        <v>1.9630996510386467E-2</v>
      </c>
      <c r="AS6" s="10">
        <v>0.31995740532875061</v>
      </c>
      <c r="AT6" s="10">
        <v>2.0650468766689301E-2</v>
      </c>
      <c r="AU6" s="6"/>
    </row>
    <row r="7" spans="1:47" x14ac:dyDescent="0.3">
      <c r="A7">
        <v>2006</v>
      </c>
      <c r="C7" s="10">
        <v>0.7557026743888855</v>
      </c>
      <c r="D7" s="10">
        <v>5.7783247902989388E-3</v>
      </c>
      <c r="E7" s="10">
        <v>0.85424900054931641</v>
      </c>
      <c r="F7" s="10">
        <v>7.5263623148202896E-3</v>
      </c>
      <c r="G7" s="10">
        <v>0.83001905679702759</v>
      </c>
      <c r="H7" s="10">
        <v>5.1657510921359062E-3</v>
      </c>
      <c r="I7" s="10">
        <v>0.97999989986419678</v>
      </c>
      <c r="J7" s="10">
        <v>5.5212958250194788E-4</v>
      </c>
      <c r="K7" s="10">
        <v>0.96878373622894287</v>
      </c>
      <c r="L7" s="10">
        <v>9.222166845574975E-4</v>
      </c>
      <c r="M7" s="10">
        <v>0.21071873605251312</v>
      </c>
      <c r="N7" s="10">
        <v>9.272904135286808E-3</v>
      </c>
      <c r="O7" s="10">
        <v>0.2797967791557312</v>
      </c>
      <c r="P7" s="10">
        <v>8.6641795933246613E-3</v>
      </c>
      <c r="Q7" s="11"/>
      <c r="R7" s="10">
        <v>0.40352702140808105</v>
      </c>
      <c r="S7" s="10">
        <v>5.6579564698040485E-3</v>
      </c>
      <c r="T7" s="10">
        <v>0.38995146751403809</v>
      </c>
      <c r="U7" s="10">
        <v>5.7549565099179745E-3</v>
      </c>
      <c r="V7" s="10">
        <v>0.82326596975326538</v>
      </c>
      <c r="W7" s="10">
        <v>1.1524155735969543E-2</v>
      </c>
      <c r="X7" s="10">
        <v>0.91229301691055298</v>
      </c>
      <c r="Y7" s="10">
        <v>4.3208422139286995E-3</v>
      </c>
      <c r="Z7" s="10">
        <v>0.86196976900100708</v>
      </c>
      <c r="AA7" s="10">
        <v>7.0003168657422066E-3</v>
      </c>
      <c r="AB7" s="10">
        <v>-5.3146511316299438E-2</v>
      </c>
      <c r="AC7" s="10">
        <v>1.8856087699532509E-2</v>
      </c>
      <c r="AD7" s="10">
        <v>-2.412375807762146E-2</v>
      </c>
      <c r="AE7" s="10">
        <v>1.8691645935177803E-2</v>
      </c>
      <c r="AF7" s="11"/>
      <c r="AG7" s="10">
        <v>0.72564864158630371</v>
      </c>
      <c r="AH7" s="10">
        <v>1.3853521086275578E-2</v>
      </c>
      <c r="AI7" s="10">
        <v>0.83975785970687866</v>
      </c>
      <c r="AJ7" s="10">
        <v>1.7586681991815567E-2</v>
      </c>
      <c r="AK7" s="10">
        <v>0.85053646564483643</v>
      </c>
      <c r="AL7" s="10">
        <v>1.2719353660941124E-2</v>
      </c>
      <c r="AM7" s="10">
        <v>0.98096686601638794</v>
      </c>
      <c r="AN7" s="10">
        <v>1.1547670001164079E-3</v>
      </c>
      <c r="AO7" s="10">
        <v>0.97007519006729126</v>
      </c>
      <c r="AP7" s="10">
        <v>1.7121426062658429E-3</v>
      </c>
      <c r="AQ7" s="10">
        <v>0.22578288614749908</v>
      </c>
      <c r="AR7" s="10">
        <v>1.9940966740250587E-2</v>
      </c>
      <c r="AS7" s="10">
        <v>0.29741835594177246</v>
      </c>
      <c r="AT7" s="10">
        <v>2.1462796255946159E-2</v>
      </c>
      <c r="AU7" s="6"/>
    </row>
    <row r="8" spans="1:47" x14ac:dyDescent="0.3">
      <c r="A8">
        <v>2007</v>
      </c>
      <c r="C8" s="10">
        <v>0.75720703601837158</v>
      </c>
      <c r="D8" s="10">
        <v>7.7279079705476761E-3</v>
      </c>
      <c r="E8" s="10">
        <v>0.84926050901412964</v>
      </c>
      <c r="F8" s="10">
        <v>6.5471697598695755E-3</v>
      </c>
      <c r="G8" s="10">
        <v>0.86805528402328491</v>
      </c>
      <c r="H8" s="10">
        <v>5.7728770188987255E-3</v>
      </c>
      <c r="I8" s="10">
        <v>0.97970819473266602</v>
      </c>
      <c r="J8" s="10">
        <v>6.6388497361913323E-4</v>
      </c>
      <c r="K8" s="10">
        <v>0.96823221445083618</v>
      </c>
      <c r="L8" s="10">
        <v>8.7361270561814308E-4</v>
      </c>
      <c r="M8" s="10">
        <v>0.14156036078929901</v>
      </c>
      <c r="N8" s="10">
        <v>1.1457353830337524E-2</v>
      </c>
      <c r="O8" s="10">
        <v>0.22387267649173737</v>
      </c>
      <c r="P8" s="10">
        <v>1.1801582761108875E-2</v>
      </c>
      <c r="Q8" s="11"/>
      <c r="R8" s="10">
        <v>0.41190895438194275</v>
      </c>
      <c r="S8" s="10">
        <v>6.8594259209930897E-3</v>
      </c>
      <c r="T8" s="10">
        <v>0.38725030422210693</v>
      </c>
      <c r="U8" s="10">
        <v>5.1399176008999348E-3</v>
      </c>
      <c r="V8" s="10">
        <v>0.87187904119491577</v>
      </c>
      <c r="W8" s="10">
        <v>1.3431691564619541E-2</v>
      </c>
      <c r="X8" s="10">
        <v>0.90554213523864746</v>
      </c>
      <c r="Y8" s="10">
        <v>4.3054474517703056E-3</v>
      </c>
      <c r="Z8" s="10">
        <v>0.86568188667297363</v>
      </c>
      <c r="AA8" s="10">
        <v>7.7922549098730087E-3</v>
      </c>
      <c r="AB8" s="10">
        <v>-0.1125468984246254</v>
      </c>
      <c r="AC8" s="10">
        <v>2.05355454236269E-2</v>
      </c>
      <c r="AD8" s="10">
        <v>-9.3877039849758148E-2</v>
      </c>
      <c r="AE8" s="10">
        <v>2.0379932597279549E-2</v>
      </c>
      <c r="AF8" s="11"/>
      <c r="AG8" s="10">
        <v>0.76353883743286133</v>
      </c>
      <c r="AH8" s="10">
        <v>1.4581808820366859E-2</v>
      </c>
      <c r="AI8" s="10">
        <v>0.87199956178665161</v>
      </c>
      <c r="AJ8" s="10">
        <v>1.8037322908639908E-2</v>
      </c>
      <c r="AK8" s="10">
        <v>0.88779622316360474</v>
      </c>
      <c r="AL8" s="10">
        <v>1.2237977236509323E-2</v>
      </c>
      <c r="AM8" s="10">
        <v>0.98039960861206055</v>
      </c>
      <c r="AN8" s="10">
        <v>1.3956198235973716E-3</v>
      </c>
      <c r="AO8" s="10">
        <v>0.97267359495162964</v>
      </c>
      <c r="AP8" s="10">
        <v>1.8936931155622005E-3</v>
      </c>
      <c r="AQ8" s="10">
        <v>0.14183080196380615</v>
      </c>
      <c r="AR8" s="10">
        <v>2.3037519305944443E-2</v>
      </c>
      <c r="AS8" s="10">
        <v>0.21015329658985138</v>
      </c>
      <c r="AT8" s="10">
        <v>2.2567486390471458E-2</v>
      </c>
      <c r="AU8" s="6"/>
    </row>
    <row r="9" spans="1:47" x14ac:dyDescent="0.3">
      <c r="A9">
        <v>2008</v>
      </c>
      <c r="C9" s="10">
        <v>0.74896883964538574</v>
      </c>
      <c r="D9" s="10">
        <v>6.3138692639768124E-3</v>
      </c>
      <c r="E9" s="10">
        <v>0.83332562446594238</v>
      </c>
      <c r="F9" s="10">
        <v>6.9824368692934513E-3</v>
      </c>
      <c r="G9" s="10">
        <v>0.87751370668411255</v>
      </c>
      <c r="H9" s="10">
        <v>6.2579452060163021E-3</v>
      </c>
      <c r="I9" s="10">
        <v>0.97746849060058594</v>
      </c>
      <c r="J9" s="10">
        <v>7.1822910103946924E-4</v>
      </c>
      <c r="K9" s="10">
        <v>0.96706795692443848</v>
      </c>
      <c r="L9" s="10">
        <v>1.0626914445310831E-3</v>
      </c>
      <c r="M9" s="10">
        <v>0.22022606432437897</v>
      </c>
      <c r="N9" s="10">
        <v>1.1395258828997612E-2</v>
      </c>
      <c r="O9" s="10">
        <v>0.27350839972496033</v>
      </c>
      <c r="P9" s="10">
        <v>9.3190344050526619E-3</v>
      </c>
      <c r="Q9" s="11"/>
      <c r="R9" s="10">
        <v>0.40821349620819092</v>
      </c>
      <c r="S9" s="10">
        <v>6.4087240025401115E-3</v>
      </c>
      <c r="T9" s="10">
        <v>0.3845086395740509</v>
      </c>
      <c r="U9" s="10">
        <v>5.6747742928564548E-3</v>
      </c>
      <c r="V9" s="10">
        <v>0.90083897113800049</v>
      </c>
      <c r="W9" s="10">
        <v>1.4505044557154179E-2</v>
      </c>
      <c r="X9" s="10">
        <v>0.89625018835067749</v>
      </c>
      <c r="Y9" s="10">
        <v>4.9959165044128895E-3</v>
      </c>
      <c r="Z9" s="10">
        <v>0.86363136768341064</v>
      </c>
      <c r="AA9" s="10">
        <v>7.5510181486606598E-3</v>
      </c>
      <c r="AB9" s="10">
        <v>-5.7808540761470795E-2</v>
      </c>
      <c r="AC9" s="10">
        <v>2.0454764366149902E-2</v>
      </c>
      <c r="AD9" s="10">
        <v>-3.2525811344385147E-2</v>
      </c>
      <c r="AE9" s="10">
        <v>2.1293969824910164E-2</v>
      </c>
      <c r="AF9" s="11"/>
      <c r="AG9" s="10">
        <v>0.72982710599899292</v>
      </c>
      <c r="AH9" s="10">
        <v>1.2226437218487263E-2</v>
      </c>
      <c r="AI9" s="10">
        <v>0.81661128997802734</v>
      </c>
      <c r="AJ9" s="10">
        <v>1.4814206399023533E-2</v>
      </c>
      <c r="AK9" s="10">
        <v>0.88484412431716919</v>
      </c>
      <c r="AL9" s="10">
        <v>1.2881439179182053E-2</v>
      </c>
      <c r="AM9" s="10">
        <v>0.97880434989929199</v>
      </c>
      <c r="AN9" s="10">
        <v>1.3046354288235307E-3</v>
      </c>
      <c r="AO9" s="10">
        <v>0.97332704067230225</v>
      </c>
      <c r="AP9" s="10">
        <v>1.5142137417569757E-3</v>
      </c>
      <c r="AQ9" s="10">
        <v>0.27562469244003296</v>
      </c>
      <c r="AR9" s="10">
        <v>2.184123732149601E-2</v>
      </c>
      <c r="AS9" s="10">
        <v>0.33030453324317932</v>
      </c>
      <c r="AT9" s="10">
        <v>2.1960858255624771E-2</v>
      </c>
      <c r="AU9" s="6"/>
    </row>
    <row r="10" spans="1:47" x14ac:dyDescent="0.3">
      <c r="A10">
        <v>2009</v>
      </c>
      <c r="C10" s="10">
        <v>0.80639159679412842</v>
      </c>
      <c r="D10" s="10">
        <v>7.4318763799965382E-3</v>
      </c>
      <c r="E10" s="10">
        <v>0.89984101057052612</v>
      </c>
      <c r="F10" s="10">
        <v>7.522310595959425E-3</v>
      </c>
      <c r="G10" s="10">
        <v>0.87391173839569092</v>
      </c>
      <c r="H10" s="10">
        <v>5.2935625426471233E-3</v>
      </c>
      <c r="I10" s="10">
        <v>0.98031514883041382</v>
      </c>
      <c r="J10" s="10">
        <v>6.5888726385310292E-4</v>
      </c>
      <c r="K10" s="10">
        <v>0.97020131349563599</v>
      </c>
      <c r="L10" s="10">
        <v>7.5322692282497883E-4</v>
      </c>
      <c r="M10" s="10">
        <v>0.17203718423843384</v>
      </c>
      <c r="N10" s="10">
        <v>1.0533371940255165E-2</v>
      </c>
      <c r="O10" s="10">
        <v>0.23506972193717957</v>
      </c>
      <c r="P10" s="10">
        <v>9.8423399031162262E-3</v>
      </c>
      <c r="Q10" s="11"/>
      <c r="R10" s="10">
        <v>0.40657442808151245</v>
      </c>
      <c r="S10" s="10">
        <v>5.9285927563905716E-3</v>
      </c>
      <c r="T10" s="10">
        <v>0.39692437648773193</v>
      </c>
      <c r="U10" s="10">
        <v>5.9278346598148346E-3</v>
      </c>
      <c r="V10" s="10">
        <v>0.86465752124786377</v>
      </c>
      <c r="W10" s="10">
        <v>1.3031758368015289E-2</v>
      </c>
      <c r="X10" s="10">
        <v>0.90217626094818115</v>
      </c>
      <c r="Y10" s="10">
        <v>5.7976292446255684E-3</v>
      </c>
      <c r="Z10" s="10">
        <v>0.86238318681716919</v>
      </c>
      <c r="AA10" s="10">
        <v>6.742565892636776E-3</v>
      </c>
      <c r="AB10" s="10">
        <v>-3.2006673514842987E-2</v>
      </c>
      <c r="AC10" s="10">
        <v>2.3459006100893021E-2</v>
      </c>
      <c r="AD10" s="10">
        <v>-9.200558066368103E-3</v>
      </c>
      <c r="AE10" s="10">
        <v>2.1077552810311317E-2</v>
      </c>
      <c r="AF10" s="11"/>
      <c r="AG10" s="10">
        <v>0.82875961065292358</v>
      </c>
      <c r="AH10" s="10">
        <v>1.5606407076120377E-2</v>
      </c>
      <c r="AI10" s="10">
        <v>0.92540663480758667</v>
      </c>
      <c r="AJ10" s="10">
        <v>1.6450893133878708E-2</v>
      </c>
      <c r="AK10" s="10">
        <v>0.87229955196380615</v>
      </c>
      <c r="AL10" s="10">
        <v>1.3054319657385349E-2</v>
      </c>
      <c r="AM10" s="10">
        <v>0.98322582244873047</v>
      </c>
      <c r="AN10" s="10">
        <v>1.0287064360454679E-3</v>
      </c>
      <c r="AO10" s="10">
        <v>0.97679674625396729</v>
      </c>
      <c r="AP10" s="10">
        <v>1.7523303395137191E-3</v>
      </c>
      <c r="AQ10" s="10">
        <v>0.20730273425579071</v>
      </c>
      <c r="AR10" s="10">
        <v>2.2326573729515076E-2</v>
      </c>
      <c r="AS10" s="10">
        <v>0.29248648881912231</v>
      </c>
      <c r="AT10" s="10">
        <v>2.4478500708937645E-2</v>
      </c>
      <c r="AU10" s="6"/>
    </row>
    <row r="11" spans="1:47" x14ac:dyDescent="0.3">
      <c r="A11">
        <v>2010</v>
      </c>
      <c r="C11" s="10">
        <v>0.80985075235366821</v>
      </c>
      <c r="D11" s="10">
        <v>7.8048128634691238E-3</v>
      </c>
      <c r="E11" s="10">
        <v>0.90427166223526001</v>
      </c>
      <c r="F11" s="10">
        <v>9.6211303025484085E-3</v>
      </c>
      <c r="G11" s="10">
        <v>0.88306283950805664</v>
      </c>
      <c r="H11" s="10">
        <v>6.9155045785009861E-3</v>
      </c>
      <c r="I11" s="10">
        <v>0.98011898994445801</v>
      </c>
      <c r="J11" s="10">
        <v>6.8415730493143201E-4</v>
      </c>
      <c r="K11" s="10">
        <v>0.97004622220993042</v>
      </c>
      <c r="L11" s="10">
        <v>1.0495109017938375E-3</v>
      </c>
      <c r="M11" s="10">
        <v>0.20781078934669495</v>
      </c>
      <c r="N11" s="10">
        <v>1.0436112992465496E-2</v>
      </c>
      <c r="O11" s="10">
        <v>0.2468678206205368</v>
      </c>
      <c r="P11" s="10">
        <v>1.0865343734622002E-2</v>
      </c>
      <c r="Q11" s="11"/>
      <c r="R11" s="10">
        <v>0.41393637657165527</v>
      </c>
      <c r="S11" s="10">
        <v>6.3450122252106667E-3</v>
      </c>
      <c r="T11" s="10">
        <v>0.40564057230949402</v>
      </c>
      <c r="U11" s="10">
        <v>5.8374311774969101E-3</v>
      </c>
      <c r="V11" s="10">
        <v>0.89829570055007935</v>
      </c>
      <c r="W11" s="10">
        <v>1.5107180923223495E-2</v>
      </c>
      <c r="X11" s="10">
        <v>0.90229862928390503</v>
      </c>
      <c r="Y11" s="10">
        <v>4.8505421727895737E-3</v>
      </c>
      <c r="Z11" s="10">
        <v>0.87011975049972534</v>
      </c>
      <c r="AA11" s="10">
        <v>6.8712811917066574E-3</v>
      </c>
      <c r="AB11" s="10">
        <v>-2.9530363157391548E-2</v>
      </c>
      <c r="AC11" s="10">
        <v>2.1807475015521049E-2</v>
      </c>
      <c r="AD11" s="10">
        <v>-1.5153955668210983E-2</v>
      </c>
      <c r="AE11" s="10">
        <v>2.1362071856856346E-2</v>
      </c>
      <c r="AF11" s="11"/>
      <c r="AG11" s="10">
        <v>0.77726483345031738</v>
      </c>
      <c r="AH11" s="10">
        <v>1.4687186107039452E-2</v>
      </c>
      <c r="AI11" s="10">
        <v>0.87222921848297119</v>
      </c>
      <c r="AJ11" s="10">
        <v>1.5813115984201431E-2</v>
      </c>
      <c r="AK11" s="10">
        <v>0.85209167003631592</v>
      </c>
      <c r="AL11" s="10">
        <v>1.3123894110321999E-2</v>
      </c>
      <c r="AM11" s="10">
        <v>0.9809643030166626</v>
      </c>
      <c r="AN11" s="10">
        <v>1.2201628414914012E-3</v>
      </c>
      <c r="AO11" s="10">
        <v>0.97620880603790283</v>
      </c>
      <c r="AP11" s="10">
        <v>1.4801759971305728E-3</v>
      </c>
      <c r="AQ11" s="10">
        <v>0.28784257173538208</v>
      </c>
      <c r="AR11" s="10">
        <v>2.4505997076630592E-2</v>
      </c>
      <c r="AS11" s="10">
        <v>0.31202030181884766</v>
      </c>
      <c r="AT11" s="10">
        <v>2.1257322281599045E-2</v>
      </c>
      <c r="AU11" s="6"/>
    </row>
    <row r="12" spans="1:47" x14ac:dyDescent="0.3">
      <c r="A12">
        <v>2011</v>
      </c>
      <c r="C12" s="10">
        <v>0.80242413282394409</v>
      </c>
      <c r="D12" s="10">
        <v>7.7318577095866203E-3</v>
      </c>
      <c r="E12" s="10">
        <v>0.91742360591888428</v>
      </c>
      <c r="F12" s="10">
        <v>9.3678617849946022E-3</v>
      </c>
      <c r="G12" s="10">
        <v>0.91856086254119873</v>
      </c>
      <c r="H12" s="10">
        <v>6.8124821409583092E-3</v>
      </c>
      <c r="I12" s="10">
        <v>0.97938567399978638</v>
      </c>
      <c r="J12" s="10">
        <v>7.7282823622226715E-4</v>
      </c>
      <c r="K12" s="10">
        <v>0.96738368272781372</v>
      </c>
      <c r="L12" s="10">
        <v>1.1719907633960247E-3</v>
      </c>
      <c r="M12" s="10">
        <v>0.22205376625061035</v>
      </c>
      <c r="N12" s="10">
        <v>1.1761890724301338E-2</v>
      </c>
      <c r="O12" s="10">
        <v>0.28209802508354187</v>
      </c>
      <c r="P12" s="10">
        <v>1.1730999685823917E-2</v>
      </c>
      <c r="Q12" s="11"/>
      <c r="R12" s="10">
        <v>0.40854480862617493</v>
      </c>
      <c r="S12" s="10">
        <v>6.5661990083754063E-3</v>
      </c>
      <c r="T12" s="10">
        <v>0.39401483535766602</v>
      </c>
      <c r="U12" s="10">
        <v>6.1241146177053452E-3</v>
      </c>
      <c r="V12" s="10">
        <v>0.98245269060134888</v>
      </c>
      <c r="W12" s="10">
        <v>1.7203126102685928E-2</v>
      </c>
      <c r="X12" s="10">
        <v>0.88834589719772339</v>
      </c>
      <c r="Y12" s="10">
        <v>6.6823284141719341E-3</v>
      </c>
      <c r="Z12" s="10">
        <v>0.84760218858718872</v>
      </c>
      <c r="AA12" s="10">
        <v>8.2667870447039604E-3</v>
      </c>
      <c r="AB12" s="10">
        <v>-2.3289655800908804E-3</v>
      </c>
      <c r="AC12" s="10">
        <v>2.4025250226259232E-2</v>
      </c>
      <c r="AD12" s="10">
        <v>-1.2591974809765816E-3</v>
      </c>
      <c r="AE12" s="10">
        <v>2.3660574108362198E-2</v>
      </c>
      <c r="AF12" s="11"/>
      <c r="AG12" s="10">
        <v>0.77133005857467651</v>
      </c>
      <c r="AH12" s="10">
        <v>1.685771532356739E-2</v>
      </c>
      <c r="AI12" s="10">
        <v>0.90245389938354492</v>
      </c>
      <c r="AJ12" s="10">
        <v>2.1323541179299355E-2</v>
      </c>
      <c r="AK12" s="10">
        <v>0.91696882247924805</v>
      </c>
      <c r="AL12" s="10">
        <v>1.7169464379549026E-2</v>
      </c>
      <c r="AM12" s="10">
        <v>0.97988486289978027</v>
      </c>
      <c r="AN12" s="10">
        <v>1.1977627873420715E-3</v>
      </c>
      <c r="AO12" s="10">
        <v>0.97155463695526123</v>
      </c>
      <c r="AP12" s="10">
        <v>1.6977352788671851E-3</v>
      </c>
      <c r="AQ12" s="10">
        <v>0.30607333779335022</v>
      </c>
      <c r="AR12" s="10">
        <v>2.5447681546211243E-2</v>
      </c>
      <c r="AS12" s="10">
        <v>0.34380537271499634</v>
      </c>
      <c r="AT12" s="10">
        <v>1.835726760327816E-2</v>
      </c>
      <c r="AU12" s="6"/>
    </row>
    <row r="13" spans="1:47" x14ac:dyDescent="0.3">
      <c r="A13">
        <v>2012</v>
      </c>
      <c r="C13" s="10">
        <v>0.798858642578125</v>
      </c>
      <c r="D13" s="10">
        <v>6.6926497966051102E-3</v>
      </c>
      <c r="E13" s="10">
        <v>0.90547382831573486</v>
      </c>
      <c r="F13" s="10">
        <v>7.8386832028627396E-3</v>
      </c>
      <c r="G13" s="10">
        <v>0.93078964948654175</v>
      </c>
      <c r="H13" s="10">
        <v>6.7494781687855721E-3</v>
      </c>
      <c r="I13" s="10">
        <v>0.97872191667556763</v>
      </c>
      <c r="J13" s="10">
        <v>8.3495350554585457E-4</v>
      </c>
      <c r="K13" s="10">
        <v>0.96809077262878418</v>
      </c>
      <c r="L13" s="10">
        <v>1.0743795428425074E-3</v>
      </c>
      <c r="M13" s="10">
        <v>0.26525223255157471</v>
      </c>
      <c r="N13" s="10">
        <v>1.2817789800465107E-2</v>
      </c>
      <c r="O13" s="10">
        <v>0.3197903037071228</v>
      </c>
      <c r="P13" s="10">
        <v>1.198006235063076E-2</v>
      </c>
      <c r="Q13" s="11"/>
      <c r="R13" s="10">
        <v>0.36946415901184082</v>
      </c>
      <c r="S13" s="10">
        <v>6.2253712676465511E-3</v>
      </c>
      <c r="T13" s="10">
        <v>0.35915228724479675</v>
      </c>
      <c r="U13" s="10">
        <v>6.1385016888380051E-3</v>
      </c>
      <c r="V13" s="10">
        <v>0.98738306760787964</v>
      </c>
      <c r="W13" s="10">
        <v>1.5467151999473572E-2</v>
      </c>
      <c r="X13" s="10">
        <v>0.86737924814224243</v>
      </c>
      <c r="Y13" s="10">
        <v>7.3527451604604721E-3</v>
      </c>
      <c r="Z13" s="10">
        <v>0.82686531543731689</v>
      </c>
      <c r="AA13" s="10">
        <v>8.4244934841990471E-3</v>
      </c>
      <c r="AB13" s="10">
        <v>0.11346215009689331</v>
      </c>
      <c r="AC13" s="10">
        <v>2.6585116982460022E-2</v>
      </c>
      <c r="AD13" s="10">
        <v>0.10288313776254654</v>
      </c>
      <c r="AE13" s="10">
        <v>2.4126220494508743E-2</v>
      </c>
      <c r="AF13" s="11"/>
      <c r="AG13" s="10">
        <v>0.79956459999084473</v>
      </c>
      <c r="AH13" s="10">
        <v>1.7403747886419296E-2</v>
      </c>
      <c r="AI13" s="10">
        <v>0.89183741807937622</v>
      </c>
      <c r="AJ13" s="10">
        <v>1.9405018538236618E-2</v>
      </c>
      <c r="AK13" s="10">
        <v>0.95332044363021851</v>
      </c>
      <c r="AL13" s="10">
        <v>1.7163308337330818E-2</v>
      </c>
      <c r="AM13" s="10">
        <v>0.98139762878417969</v>
      </c>
      <c r="AN13" s="10">
        <v>1.2389069888740778E-3</v>
      </c>
      <c r="AO13" s="10">
        <v>0.97678029537200928</v>
      </c>
      <c r="AP13" s="10">
        <v>1.6492436407133937E-3</v>
      </c>
      <c r="AQ13" s="10">
        <v>0.33367455005645752</v>
      </c>
      <c r="AR13" s="10">
        <v>2.626052126288414E-2</v>
      </c>
      <c r="AS13" s="10">
        <v>0.39605769515037537</v>
      </c>
      <c r="AT13" s="10">
        <v>2.1786019206047058E-2</v>
      </c>
      <c r="AU13" s="6"/>
    </row>
    <row r="14" spans="1:47" x14ac:dyDescent="0.3">
      <c r="A14">
        <v>2013</v>
      </c>
      <c r="C14" s="10">
        <v>0.87183409929275513</v>
      </c>
      <c r="D14" s="10">
        <v>9.0783433988690376E-3</v>
      </c>
      <c r="E14" s="10">
        <v>0.99057203531265259</v>
      </c>
      <c r="F14" s="10">
        <v>1.128813810646534E-2</v>
      </c>
      <c r="G14" s="10">
        <v>0.96731096506118774</v>
      </c>
      <c r="H14" s="10">
        <v>7.6605654321610928E-3</v>
      </c>
      <c r="I14" s="10">
        <v>0.98139274120330811</v>
      </c>
      <c r="J14" s="10">
        <v>8.0989761045202613E-4</v>
      </c>
      <c r="K14" s="10">
        <v>0.97097563743591309</v>
      </c>
      <c r="L14" s="10">
        <v>1.1910467874258757E-3</v>
      </c>
      <c r="M14" s="10">
        <v>0.27010813355445862</v>
      </c>
      <c r="N14" s="10">
        <v>1.1438277550041676E-2</v>
      </c>
      <c r="O14" s="10">
        <v>0.33061030507087708</v>
      </c>
      <c r="P14" s="10">
        <v>1.0460012592375278E-2</v>
      </c>
      <c r="Q14" s="11"/>
      <c r="R14" s="10">
        <v>0.40825375914573669</v>
      </c>
      <c r="S14" s="10">
        <v>7.109370082616806E-3</v>
      </c>
      <c r="T14" s="10">
        <v>0.39248338341712952</v>
      </c>
      <c r="U14" s="10">
        <v>6.2051601707935333E-3</v>
      </c>
      <c r="V14" s="10">
        <v>1.0167968273162842</v>
      </c>
      <c r="W14" s="10">
        <v>1.9148403778672218E-2</v>
      </c>
      <c r="X14" s="10">
        <v>0.88922601938247681</v>
      </c>
      <c r="Y14" s="10">
        <v>6.2041948549449444E-3</v>
      </c>
      <c r="Z14" s="10">
        <v>0.83679687976837158</v>
      </c>
      <c r="AA14" s="10">
        <v>9.1545628383755684E-3</v>
      </c>
      <c r="AB14" s="10">
        <v>-4.1445353999733925E-3</v>
      </c>
      <c r="AC14" s="10">
        <v>2.3429142311215401E-2</v>
      </c>
      <c r="AD14" s="10">
        <v>1.6391102224588394E-2</v>
      </c>
      <c r="AE14" s="10">
        <v>2.6741443201899529E-2</v>
      </c>
      <c r="AF14" s="11"/>
      <c r="AG14" s="10">
        <v>0.80742126703262329</v>
      </c>
      <c r="AH14" s="10">
        <v>2.005741186439991E-2</v>
      </c>
      <c r="AI14" s="10">
        <v>0.91433453559875488</v>
      </c>
      <c r="AJ14" s="10">
        <v>2.0024998113512993E-2</v>
      </c>
      <c r="AK14" s="10">
        <v>0.98088806867599487</v>
      </c>
      <c r="AL14" s="10">
        <v>1.522081159055233E-2</v>
      </c>
      <c r="AM14" s="10">
        <v>0.97951227426528931</v>
      </c>
      <c r="AN14" s="10">
        <v>1.4446553541347384E-3</v>
      </c>
      <c r="AO14" s="10">
        <v>0.97052425146102905</v>
      </c>
      <c r="AP14" s="10">
        <v>2.1130037494003773E-3</v>
      </c>
      <c r="AQ14" s="10">
        <v>0.32872787117958069</v>
      </c>
      <c r="AR14" s="10">
        <v>2.4936804547905922E-2</v>
      </c>
      <c r="AS14" s="10">
        <v>0.38504129648208618</v>
      </c>
      <c r="AT14" s="10">
        <v>2.6302257552742958E-2</v>
      </c>
      <c r="AU14" s="6"/>
    </row>
    <row r="15" spans="1:47" x14ac:dyDescent="0.3">
      <c r="A15">
        <v>2014</v>
      </c>
      <c r="C15" s="25">
        <v>0.93668556213378906</v>
      </c>
      <c r="D15" s="25">
        <v>9.1143334284424782E-3</v>
      </c>
      <c r="E15" s="25">
        <v>1.076359748840332</v>
      </c>
      <c r="F15" s="25">
        <v>1.1334870010614395E-2</v>
      </c>
      <c r="G15" s="25">
        <v>0.99277269840240479</v>
      </c>
      <c r="H15" s="25">
        <v>6.8064196966588497E-3</v>
      </c>
      <c r="I15" s="25">
        <v>0.98245108127593994</v>
      </c>
      <c r="J15" s="25">
        <v>5.1976973190903664E-4</v>
      </c>
      <c r="K15" s="25">
        <v>0.97351211309432983</v>
      </c>
      <c r="L15" s="25">
        <v>8.8424445129930973E-4</v>
      </c>
      <c r="M15" s="25">
        <v>0.23764248192310333</v>
      </c>
      <c r="N15" s="25">
        <v>1.1307817883789539E-2</v>
      </c>
      <c r="O15" s="25">
        <v>0.29179814457893372</v>
      </c>
      <c r="P15" s="25">
        <v>1.1400822550058365E-2</v>
      </c>
      <c r="Q15" s="26"/>
      <c r="R15" s="25">
        <v>0.43673801422119141</v>
      </c>
      <c r="S15" s="25">
        <v>7.3478217236697674E-3</v>
      </c>
      <c r="T15" s="25">
        <v>0.42424795031547546</v>
      </c>
      <c r="U15" s="25">
        <v>6.0868603177368641E-3</v>
      </c>
      <c r="V15" s="25">
        <v>1.0324419736862183</v>
      </c>
      <c r="W15" s="25">
        <v>2.1295862272381783E-2</v>
      </c>
      <c r="X15" s="25">
        <v>0.89959686994552612</v>
      </c>
      <c r="Y15" s="25">
        <v>5.2948999218642712E-3</v>
      </c>
      <c r="Z15" s="25">
        <v>0.87341201305389404</v>
      </c>
      <c r="AA15" s="25">
        <v>6.7578926682472229E-3</v>
      </c>
      <c r="AB15" s="25">
        <v>3.7380252033472061E-2</v>
      </c>
      <c r="AC15" s="25">
        <v>2.1246302872896194E-2</v>
      </c>
      <c r="AD15" s="25">
        <v>3.7001460790634155E-2</v>
      </c>
      <c r="AE15" s="25">
        <v>2.1219344809651375E-2</v>
      </c>
      <c r="AF15" s="24"/>
      <c r="AG15" s="25">
        <v>0.89342856407165527</v>
      </c>
      <c r="AH15" s="25">
        <v>2.5740897282958031E-2</v>
      </c>
      <c r="AI15" s="25">
        <v>1.0192750692367554</v>
      </c>
      <c r="AJ15" s="25">
        <v>2.2444669157266617E-2</v>
      </c>
      <c r="AK15" s="25">
        <v>0.95230591297149658</v>
      </c>
      <c r="AL15" s="25">
        <v>1.5060245990753174E-2</v>
      </c>
      <c r="AM15" s="25">
        <v>0.98460006713867188</v>
      </c>
      <c r="AN15" s="25">
        <v>1.293977489694953E-3</v>
      </c>
      <c r="AO15" s="25">
        <v>0.97720205783843994</v>
      </c>
      <c r="AP15" s="25">
        <v>1.6353362007066607E-3</v>
      </c>
      <c r="AQ15" s="25">
        <v>0.27265366911888123</v>
      </c>
      <c r="AR15" s="25">
        <v>2.6102548465132713E-2</v>
      </c>
      <c r="AS15" s="25">
        <v>0.32578319311141968</v>
      </c>
      <c r="AT15" s="25">
        <v>2.3694800212979317E-2</v>
      </c>
      <c r="AU15" s="6"/>
    </row>
    <row r="16" spans="1:47" x14ac:dyDescent="0.3">
      <c r="A16">
        <v>2015</v>
      </c>
      <c r="C16" s="25">
        <v>0.97202795743942261</v>
      </c>
      <c r="D16" s="25">
        <v>1.0300096124410629E-2</v>
      </c>
      <c r="E16" s="25">
        <v>1.1202335357666016</v>
      </c>
      <c r="F16" s="25">
        <v>1.0179530829191208E-2</v>
      </c>
      <c r="G16" s="25">
        <v>1.0263992547988892</v>
      </c>
      <c r="H16" s="25">
        <v>7.1453601121902466E-3</v>
      </c>
      <c r="I16" s="25">
        <v>0.98332786560058594</v>
      </c>
      <c r="J16" s="25">
        <v>5.7651643874123693E-4</v>
      </c>
      <c r="K16" s="25">
        <v>0.97318899631500244</v>
      </c>
      <c r="L16" s="25">
        <v>1.0085423709824681E-3</v>
      </c>
      <c r="M16" s="25">
        <v>0.22408513724803925</v>
      </c>
      <c r="N16" s="25">
        <v>1.0708148591220379E-2</v>
      </c>
      <c r="O16" s="25">
        <v>0.27164167165756226</v>
      </c>
      <c r="P16" s="25">
        <v>1.3955967500805855E-2</v>
      </c>
      <c r="Q16" s="26"/>
      <c r="R16" s="25">
        <v>0.45878738164901733</v>
      </c>
      <c r="S16" s="25">
        <v>6.9419024512171745E-3</v>
      </c>
      <c r="T16" s="25">
        <v>0.45071816444396973</v>
      </c>
      <c r="U16" s="25">
        <v>7.4021262116730213E-3</v>
      </c>
      <c r="V16" s="25">
        <v>1.1013354063034058</v>
      </c>
      <c r="W16" s="25">
        <v>1.7876213416457176E-2</v>
      </c>
      <c r="X16" s="25">
        <v>0.89394593238830566</v>
      </c>
      <c r="Y16" s="25">
        <v>7.2005195543169975E-3</v>
      </c>
      <c r="Z16" s="25">
        <v>0.86933112144470215</v>
      </c>
      <c r="AA16" s="25">
        <v>7.861018180847168E-3</v>
      </c>
      <c r="AB16" s="25">
        <v>4.0318641811609268E-2</v>
      </c>
      <c r="AC16" s="25">
        <v>3.0141031369566917E-2</v>
      </c>
      <c r="AD16" s="25">
        <v>3.420068696141243E-2</v>
      </c>
      <c r="AE16" s="25">
        <v>2.3030588403344154E-2</v>
      </c>
      <c r="AF16" s="24"/>
      <c r="AG16" s="25">
        <v>0.88716769218444824</v>
      </c>
      <c r="AH16" s="25">
        <v>1.9932733848690987E-2</v>
      </c>
      <c r="AI16" s="25">
        <v>1.0569236278533936</v>
      </c>
      <c r="AJ16" s="25">
        <v>2.3780306801199913E-2</v>
      </c>
      <c r="AK16" s="25">
        <v>1.0092699527740479</v>
      </c>
      <c r="AL16" s="25">
        <v>1.4670786447823048E-2</v>
      </c>
      <c r="AM16" s="25">
        <v>0.98190879821777344</v>
      </c>
      <c r="AN16" s="25">
        <v>1.4416946796700358E-3</v>
      </c>
      <c r="AO16" s="25">
        <v>0.9697611927986145</v>
      </c>
      <c r="AP16" s="25">
        <v>1.8650314304977655E-3</v>
      </c>
      <c r="AQ16" s="25">
        <v>0.24609021842479706</v>
      </c>
      <c r="AR16" s="25">
        <v>3.0266121029853821E-2</v>
      </c>
      <c r="AS16" s="25">
        <v>0.31323498487472534</v>
      </c>
      <c r="AT16" s="25">
        <v>2.8298391029238701E-2</v>
      </c>
      <c r="AU16" s="6"/>
    </row>
    <row r="17" spans="1:47" x14ac:dyDescent="0.3">
      <c r="A17">
        <v>2016</v>
      </c>
      <c r="C17" s="25">
        <v>0.95945209264755249</v>
      </c>
      <c r="D17" s="25">
        <v>1.1560685001313686E-2</v>
      </c>
      <c r="E17" s="25">
        <v>1.099382758140564</v>
      </c>
      <c r="F17" s="25">
        <v>9.3260016292333603E-3</v>
      </c>
      <c r="G17" s="25">
        <v>1.0359907150268555</v>
      </c>
      <c r="H17" s="25">
        <v>8.6489971727132797E-3</v>
      </c>
      <c r="I17" s="25">
        <v>0.98272460699081421</v>
      </c>
      <c r="J17" s="25">
        <v>8.7991810869425535E-4</v>
      </c>
      <c r="K17" s="25">
        <v>0.97139787673950195</v>
      </c>
      <c r="L17" s="25">
        <v>1.1906995205208659E-3</v>
      </c>
      <c r="M17" s="25">
        <v>0.25972035527229309</v>
      </c>
      <c r="N17" s="25">
        <v>1.1358708143234253E-2</v>
      </c>
      <c r="O17" s="25">
        <v>0.32028982043266296</v>
      </c>
      <c r="P17" s="25">
        <v>9.3116555362939835E-3</v>
      </c>
      <c r="Q17" s="26"/>
      <c r="R17" s="25">
        <v>0.47906753420829773</v>
      </c>
      <c r="S17" s="25">
        <v>7.9409917816519737E-3</v>
      </c>
      <c r="T17" s="25">
        <v>0.45160487294197083</v>
      </c>
      <c r="U17" s="25">
        <v>8.5200183093547821E-3</v>
      </c>
      <c r="V17" s="25">
        <v>1.112429141998291</v>
      </c>
      <c r="W17" s="25">
        <v>1.6178308054804802E-2</v>
      </c>
      <c r="X17" s="25">
        <v>0.89666515588760376</v>
      </c>
      <c r="Y17" s="25">
        <v>5.7526500895619392E-3</v>
      </c>
      <c r="Z17" s="25">
        <v>0.86443787813186646</v>
      </c>
      <c r="AA17" s="25">
        <v>6.3720112666487694E-3</v>
      </c>
      <c r="AB17" s="25">
        <v>-1.178134698420763E-2</v>
      </c>
      <c r="AC17" s="25">
        <v>2.4016628041863441E-2</v>
      </c>
      <c r="AD17" s="25">
        <v>-2.4390235543251038E-2</v>
      </c>
      <c r="AE17" s="25">
        <v>2.5907531380653381E-2</v>
      </c>
      <c r="AF17" s="24"/>
      <c r="AG17" s="25">
        <v>0.78809350728988647</v>
      </c>
      <c r="AH17" s="25">
        <v>1.7660889774560928E-2</v>
      </c>
      <c r="AI17" s="25">
        <v>0.93662744760513306</v>
      </c>
      <c r="AJ17" s="25">
        <v>2.5376312434673309E-2</v>
      </c>
      <c r="AK17" s="25">
        <v>1.0610382556915283</v>
      </c>
      <c r="AL17" s="25">
        <v>1.73365268856287E-2</v>
      </c>
      <c r="AM17" s="25">
        <v>0.97822648286819458</v>
      </c>
      <c r="AN17" s="25">
        <v>3.2501008827239275E-3</v>
      </c>
      <c r="AO17" s="25">
        <v>0.96747267246246338</v>
      </c>
      <c r="AP17" s="25">
        <v>2.2887580562382936E-3</v>
      </c>
      <c r="AQ17" s="25">
        <v>0.2874036431312561</v>
      </c>
      <c r="AR17" s="25">
        <v>2.5118175894021988E-2</v>
      </c>
      <c r="AS17" s="25">
        <v>0.37796777486801147</v>
      </c>
      <c r="AT17" s="25">
        <v>2.7708547189831734E-2</v>
      </c>
      <c r="AU17" s="6"/>
    </row>
    <row r="18" spans="1:47" x14ac:dyDescent="0.3">
      <c r="A18">
        <v>2017</v>
      </c>
      <c r="C18" s="21">
        <v>0.98356747627258301</v>
      </c>
      <c r="D18" s="21">
        <v>9.8371300846338272E-3</v>
      </c>
      <c r="E18" s="21">
        <v>1.1304817199707031</v>
      </c>
      <c r="F18" s="21">
        <v>1.1634321883320808E-2</v>
      </c>
      <c r="G18" s="21">
        <v>1.0505040884017944</v>
      </c>
      <c r="H18" s="21">
        <v>8.019275963306427E-3</v>
      </c>
      <c r="I18" s="21">
        <v>0.98248326778411865</v>
      </c>
      <c r="J18" s="21">
        <v>6.2720227288082242E-4</v>
      </c>
      <c r="K18" s="21">
        <v>0.97585874795913696</v>
      </c>
      <c r="L18" s="21">
        <v>9.1227702796459198E-4</v>
      </c>
      <c r="M18" s="21">
        <v>0.22949078679084778</v>
      </c>
      <c r="N18" s="21">
        <v>1.2713346630334854E-2</v>
      </c>
      <c r="O18" s="21">
        <v>0.26450762152671814</v>
      </c>
      <c r="P18" s="21">
        <v>1.0212953202426434E-2</v>
      </c>
      <c r="Q18" s="21"/>
      <c r="R18" s="21">
        <v>0.48388838768005371</v>
      </c>
      <c r="S18" s="21">
        <v>1.0437842458486557E-2</v>
      </c>
      <c r="T18" s="21">
        <v>0.45805791020393372</v>
      </c>
      <c r="U18" s="21">
        <v>9.4243967905640602E-3</v>
      </c>
      <c r="V18" s="21">
        <v>1.1201779842376709</v>
      </c>
      <c r="W18" s="21">
        <v>1.9981086254119873E-2</v>
      </c>
      <c r="X18" s="21">
        <v>0.89391720294952393</v>
      </c>
      <c r="Y18" s="21">
        <v>6.7671113647520542E-3</v>
      </c>
      <c r="Z18" s="21">
        <v>0.86080282926559448</v>
      </c>
      <c r="AA18" s="21">
        <v>9.0300450101494789E-3</v>
      </c>
      <c r="AB18" s="21">
        <v>9.4679230824112892E-3</v>
      </c>
      <c r="AC18" s="21">
        <v>2.260284498333931E-2</v>
      </c>
      <c r="AD18" s="21">
        <v>-1.732189953327179E-2</v>
      </c>
      <c r="AE18" s="21">
        <v>2.8009859845042229E-2</v>
      </c>
      <c r="AF18" s="21"/>
      <c r="AG18" s="21">
        <v>0.92853856086730957</v>
      </c>
      <c r="AH18" s="21">
        <v>2.873959019780159E-2</v>
      </c>
      <c r="AI18" s="21">
        <v>1.0783816576004028</v>
      </c>
      <c r="AJ18" s="21">
        <v>2.2728579118847847E-2</v>
      </c>
      <c r="AK18" s="21">
        <v>1.0828428268432617</v>
      </c>
      <c r="AL18" s="21">
        <v>1.8340360373258591E-2</v>
      </c>
      <c r="AM18" s="21">
        <v>0.98236656188964844</v>
      </c>
      <c r="AN18" s="21">
        <v>1.2667346745729446E-3</v>
      </c>
      <c r="AO18" s="21">
        <v>0.97447502613067627</v>
      </c>
      <c r="AP18" s="21">
        <v>2.3700061719864607E-3</v>
      </c>
      <c r="AQ18" s="21">
        <v>0.23374539613723755</v>
      </c>
      <c r="AR18" s="21">
        <v>2.6155957952141762E-2</v>
      </c>
      <c r="AS18" s="21">
        <v>0.29778188467025757</v>
      </c>
      <c r="AT18" s="21">
        <v>3.0843645334243774E-2</v>
      </c>
    </row>
    <row r="19" spans="1:47" x14ac:dyDescent="0.3">
      <c r="A19">
        <v>2018</v>
      </c>
      <c r="C19" s="21">
        <v>1.0211830139160156</v>
      </c>
      <c r="D19" s="21">
        <v>1.2521318159997463E-2</v>
      </c>
      <c r="E19" s="21">
        <v>1.131196141242981</v>
      </c>
      <c r="F19" s="21">
        <v>1.2847542762756348E-2</v>
      </c>
      <c r="G19" s="21">
        <v>1.086082935333252</v>
      </c>
      <c r="H19" s="21">
        <v>9.9833039566874504E-3</v>
      </c>
      <c r="I19" s="21">
        <v>0.98138916492462158</v>
      </c>
      <c r="J19" s="21">
        <v>8.0099288607016206E-4</v>
      </c>
      <c r="K19" s="21">
        <v>0.97141635417938232</v>
      </c>
      <c r="L19" s="21">
        <v>1.2356725055724382E-3</v>
      </c>
      <c r="M19" s="21">
        <v>0.1786714643239975</v>
      </c>
      <c r="N19" s="21">
        <v>1.2204922735691071E-2</v>
      </c>
      <c r="O19" s="21">
        <v>0.22041961550712585</v>
      </c>
      <c r="P19" s="21">
        <v>1.1752712540328503E-2</v>
      </c>
      <c r="Q19" s="21"/>
      <c r="R19" s="21">
        <v>0.5630384087562561</v>
      </c>
      <c r="S19" s="21">
        <v>1.1042354628443718E-2</v>
      </c>
      <c r="T19" s="21">
        <v>0.52311074733734131</v>
      </c>
      <c r="U19" s="21">
        <v>1.2169076129794121E-2</v>
      </c>
      <c r="V19" s="21">
        <v>1.074894905090332</v>
      </c>
      <c r="W19" s="21">
        <v>1.9981464371085167E-2</v>
      </c>
      <c r="X19" s="21">
        <v>0.92401373386383057</v>
      </c>
      <c r="Y19" s="21">
        <v>4.6150446869432926E-3</v>
      </c>
      <c r="Z19" s="21">
        <v>0.90327107906341553</v>
      </c>
      <c r="AA19" s="21">
        <v>8.6612729355692863E-3</v>
      </c>
      <c r="AB19" s="21">
        <v>-5.5762201547622681E-2</v>
      </c>
      <c r="AC19" s="21">
        <v>2.441098541021347E-2</v>
      </c>
      <c r="AD19" s="21">
        <v>-8.6167760193347931E-2</v>
      </c>
      <c r="AE19" s="21">
        <v>2.7809625491499901E-2</v>
      </c>
      <c r="AF19" s="21"/>
      <c r="AG19" s="21">
        <v>0.89641577005386353</v>
      </c>
      <c r="AH19" s="21">
        <v>2.3809649050235748E-2</v>
      </c>
      <c r="AI19" s="21">
        <v>0.99357330799102783</v>
      </c>
      <c r="AJ19" s="21">
        <v>2.1180018782615662E-2</v>
      </c>
      <c r="AK19" s="21">
        <v>1.1025282144546509</v>
      </c>
      <c r="AL19" s="21">
        <v>1.7015032470226288E-2</v>
      </c>
      <c r="AM19" s="21">
        <v>0.97807139158248901</v>
      </c>
      <c r="AN19" s="21">
        <v>1.6900964546948671E-3</v>
      </c>
      <c r="AO19" s="21">
        <v>0.96292442083358765</v>
      </c>
      <c r="AP19" s="21">
        <v>4.1537703946232796E-3</v>
      </c>
      <c r="AQ19" s="21">
        <v>0.23186226189136505</v>
      </c>
      <c r="AR19" s="21">
        <v>2.5909354910254478E-2</v>
      </c>
      <c r="AS19" s="21">
        <v>0.25621438026428223</v>
      </c>
      <c r="AT19" s="21">
        <v>2.5788735598325729E-2</v>
      </c>
    </row>
    <row r="20" spans="1:47" x14ac:dyDescent="0.3">
      <c r="A20">
        <v>2019</v>
      </c>
      <c r="C20" s="21">
        <v>1.086621880531311</v>
      </c>
      <c r="D20" s="21">
        <v>1.2277134694159031E-2</v>
      </c>
      <c r="E20" s="21">
        <v>1.2226134538650513</v>
      </c>
      <c r="F20" s="21">
        <v>1.3051931746304035E-2</v>
      </c>
      <c r="G20" s="21">
        <v>1.1200186014175415</v>
      </c>
      <c r="H20" s="21">
        <v>1.0566849261522293E-2</v>
      </c>
      <c r="I20" s="21">
        <v>0.98315680027008057</v>
      </c>
      <c r="J20" s="21">
        <v>5.6623743148520589E-4</v>
      </c>
      <c r="K20" s="21">
        <v>0.97526973485946655</v>
      </c>
      <c r="L20" s="21">
        <v>1.2049933429807425E-3</v>
      </c>
      <c r="M20" s="21">
        <v>0.24261355400085449</v>
      </c>
      <c r="N20" s="21">
        <v>1.4722487889230251E-2</v>
      </c>
      <c r="O20" s="21">
        <v>0.28493523597717285</v>
      </c>
      <c r="P20" s="21">
        <v>1.1057985946536064E-2</v>
      </c>
      <c r="Q20" s="21"/>
      <c r="R20" s="21">
        <v>0.50769263505935669</v>
      </c>
      <c r="S20" s="21">
        <v>1.0284817777574062E-2</v>
      </c>
      <c r="T20" s="21">
        <v>0.45716109871864319</v>
      </c>
      <c r="U20" s="21">
        <v>9.9052451550960541E-3</v>
      </c>
      <c r="V20" s="21">
        <v>1.1979321241378784</v>
      </c>
      <c r="W20" s="21">
        <v>2.6924114674329758E-2</v>
      </c>
      <c r="X20" s="21">
        <v>0.90247917175292969</v>
      </c>
      <c r="Y20" s="21">
        <v>8.2978224381804466E-3</v>
      </c>
      <c r="Z20" s="21">
        <v>0.85016793012619019</v>
      </c>
      <c r="AA20" s="21">
        <v>1.2312274426221848E-2</v>
      </c>
      <c r="AB20" s="21">
        <v>-0.13466434180736542</v>
      </c>
      <c r="AC20" s="21">
        <v>3.1448874622583389E-2</v>
      </c>
      <c r="AD20" s="21">
        <v>-0.12027169764041901</v>
      </c>
      <c r="AE20" s="21">
        <v>2.7658151462674141E-2</v>
      </c>
      <c r="AF20" s="21"/>
      <c r="AG20" s="21">
        <v>0.8956294059753418</v>
      </c>
      <c r="AH20" s="21">
        <v>2.7761867269873619E-2</v>
      </c>
      <c r="AI20" s="21">
        <v>0.99187463521957397</v>
      </c>
      <c r="AJ20" s="21">
        <v>2.7447806671261787E-2</v>
      </c>
      <c r="AK20" s="21">
        <v>1.1518368721008301</v>
      </c>
      <c r="AL20" s="21">
        <v>2.2742073982954025E-2</v>
      </c>
      <c r="AM20" s="21">
        <v>0.98009747266769409</v>
      </c>
      <c r="AN20" s="21">
        <v>2.0142344292253256E-3</v>
      </c>
      <c r="AO20" s="21">
        <v>0.96485620737075806</v>
      </c>
      <c r="AP20" s="21">
        <v>3.182361600920558E-3</v>
      </c>
      <c r="AQ20" s="21">
        <v>0.21932640671730042</v>
      </c>
      <c r="AR20" s="21">
        <v>3.3715277910232544E-2</v>
      </c>
      <c r="AS20" s="21">
        <v>0.29016679525375366</v>
      </c>
      <c r="AT20" s="21">
        <v>3.2847292721271515E-2</v>
      </c>
    </row>
    <row r="21" spans="1:47" x14ac:dyDescent="0.3">
      <c r="A21">
        <v>2020</v>
      </c>
      <c r="C21" s="21">
        <v>1.1069926023483276</v>
      </c>
      <c r="D21" s="21">
        <v>1.2296137399971485E-2</v>
      </c>
      <c r="E21" s="21">
        <v>1.2605935335159302</v>
      </c>
      <c r="F21" s="21">
        <v>1.7267975956201553E-2</v>
      </c>
      <c r="G21" s="21">
        <v>1.1237683296203613</v>
      </c>
      <c r="H21" s="21">
        <v>9.667673148214817E-3</v>
      </c>
      <c r="I21" s="21">
        <v>0.98488980531692505</v>
      </c>
      <c r="J21" s="21">
        <v>6.0244213091209531E-4</v>
      </c>
      <c r="K21" s="21">
        <v>0.97821050882339478</v>
      </c>
      <c r="L21" s="21">
        <v>9.3536806525662541E-4</v>
      </c>
      <c r="M21" s="21">
        <v>0.28278830647468567</v>
      </c>
      <c r="N21" s="21">
        <v>1.4992750249803066E-2</v>
      </c>
      <c r="O21" s="21">
        <v>0.32344415783882141</v>
      </c>
      <c r="P21" s="21">
        <v>1.2368599884212017E-2</v>
      </c>
      <c r="Q21" s="21"/>
      <c r="R21" s="21">
        <v>0.56681185960769653</v>
      </c>
      <c r="S21" s="21">
        <v>1.6191326081752777E-2</v>
      </c>
      <c r="T21" s="21">
        <v>0.52925962209701538</v>
      </c>
      <c r="U21" s="21">
        <v>1.2716338038444519E-2</v>
      </c>
      <c r="V21" s="21">
        <v>1.1483025550842285</v>
      </c>
      <c r="W21" s="21">
        <v>2.1430518478155136E-2</v>
      </c>
      <c r="X21" s="21">
        <v>0.93022412061691284</v>
      </c>
      <c r="Y21" s="21">
        <v>5.4458742961287498E-3</v>
      </c>
      <c r="Z21" s="21">
        <v>0.89193707704544067</v>
      </c>
      <c r="AA21" s="21">
        <v>8.2405861467123032E-3</v>
      </c>
      <c r="AB21" s="21">
        <v>-3.8615923374891281E-2</v>
      </c>
      <c r="AC21" s="21">
        <v>3.0021434649825096E-2</v>
      </c>
      <c r="AD21" s="21">
        <v>-3.9914358407258987E-2</v>
      </c>
      <c r="AE21" s="21">
        <v>3.7442609667778015E-2</v>
      </c>
      <c r="AF21" s="21"/>
      <c r="AG21" s="21">
        <v>0.9609493613243103</v>
      </c>
      <c r="AH21" s="21">
        <v>3.3843044191598892E-2</v>
      </c>
      <c r="AI21" s="21">
        <v>1.0786226987838745</v>
      </c>
      <c r="AJ21" s="21">
        <v>3.2594189047813416E-2</v>
      </c>
      <c r="AK21" s="21">
        <v>1.1600813865661621</v>
      </c>
      <c r="AL21" s="21">
        <v>2.0866021513938904E-2</v>
      </c>
      <c r="AM21" s="21">
        <v>0.97998440265655518</v>
      </c>
      <c r="AN21" s="21">
        <v>1.5099478187039495E-3</v>
      </c>
      <c r="AO21" s="21">
        <v>0.97350543737411499</v>
      </c>
      <c r="AP21" s="21">
        <v>2.7066569309681654E-3</v>
      </c>
      <c r="AQ21" s="21">
        <v>0.23687605559825897</v>
      </c>
      <c r="AR21" s="21">
        <v>3.5319838672876358E-2</v>
      </c>
      <c r="AS21" s="21">
        <v>0.27673244476318359</v>
      </c>
      <c r="AT21" s="21">
        <v>3.1220177188515663E-2</v>
      </c>
    </row>
  </sheetData>
  <mergeCells count="21">
    <mergeCell ref="AM3:AN3"/>
    <mergeCell ref="AO3:AP3"/>
    <mergeCell ref="AQ3:AR3"/>
    <mergeCell ref="AS3:AT3"/>
    <mergeCell ref="M2:P2"/>
    <mergeCell ref="M3:N3"/>
    <mergeCell ref="O3:P3"/>
    <mergeCell ref="X2:AA2"/>
    <mergeCell ref="X3:Y3"/>
    <mergeCell ref="Z3:AA3"/>
    <mergeCell ref="C1:P1"/>
    <mergeCell ref="R1:AE1"/>
    <mergeCell ref="AG1:AT1"/>
    <mergeCell ref="AM2:AP2"/>
    <mergeCell ref="AQ2:AT2"/>
    <mergeCell ref="I3:J3"/>
    <mergeCell ref="K3:L3"/>
    <mergeCell ref="I2:L2"/>
    <mergeCell ref="AB2:AE2"/>
    <mergeCell ref="AB3:AC3"/>
    <mergeCell ref="AD3:AE3"/>
  </mergeCells>
  <pageMargins left="0.7" right="0.7" top="0.75" bottom="0.75" header="0.3" footer="0.3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A0A50-733F-4162-8F71-32ADE05D24D3}">
  <dimension ref="A1:AU21"/>
  <sheetViews>
    <sheetView workbookViewId="0">
      <selection activeCell="AO19" sqref="AO19"/>
    </sheetView>
  </sheetViews>
  <sheetFormatPr defaultColWidth="8.77734375" defaultRowHeight="14.4" x14ac:dyDescent="0.3"/>
  <sheetData>
    <row r="1" spans="1:47" x14ac:dyDescent="0.3">
      <c r="C1" s="39" t="s">
        <v>91</v>
      </c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R1" s="39" t="s">
        <v>92</v>
      </c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2"/>
      <c r="AG1" s="39" t="s">
        <v>93</v>
      </c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  <c r="AS1" s="38"/>
      <c r="AT1" s="38"/>
      <c r="AU1" s="2"/>
    </row>
    <row r="2" spans="1:47" x14ac:dyDescent="0.3">
      <c r="C2" t="s">
        <v>39</v>
      </c>
      <c r="E2" t="s">
        <v>40</v>
      </c>
      <c r="G2" t="s">
        <v>49</v>
      </c>
      <c r="I2" s="38" t="s">
        <v>50</v>
      </c>
      <c r="J2" s="38"/>
      <c r="K2" s="38"/>
      <c r="L2" s="38"/>
      <c r="M2" s="38" t="s">
        <v>52</v>
      </c>
      <c r="N2" s="38"/>
      <c r="O2" s="38"/>
      <c r="P2" s="38"/>
      <c r="R2" t="s">
        <v>39</v>
      </c>
      <c r="T2" t="s">
        <v>40</v>
      </c>
      <c r="V2" t="s">
        <v>49</v>
      </c>
      <c r="X2" s="38" t="s">
        <v>50</v>
      </c>
      <c r="Y2" s="38"/>
      <c r="Z2" s="38"/>
      <c r="AA2" s="38"/>
      <c r="AB2" s="38" t="s">
        <v>52</v>
      </c>
      <c r="AC2" s="38"/>
      <c r="AD2" s="38"/>
      <c r="AE2" s="38"/>
      <c r="AF2" s="2"/>
      <c r="AG2" t="s">
        <v>39</v>
      </c>
      <c r="AI2" t="s">
        <v>40</v>
      </c>
      <c r="AK2" t="s">
        <v>49</v>
      </c>
      <c r="AM2" s="38" t="s">
        <v>50</v>
      </c>
      <c r="AN2" s="38"/>
      <c r="AO2" s="38"/>
      <c r="AP2" s="38"/>
      <c r="AQ2" s="38" t="s">
        <v>52</v>
      </c>
      <c r="AR2" s="38"/>
      <c r="AS2" s="38"/>
      <c r="AT2" s="38"/>
      <c r="AU2" s="2"/>
    </row>
    <row r="3" spans="1:47" x14ac:dyDescent="0.3">
      <c r="I3" s="38" t="s">
        <v>41</v>
      </c>
      <c r="J3" s="38"/>
      <c r="K3" s="38" t="s">
        <v>42</v>
      </c>
      <c r="L3" s="38"/>
      <c r="M3" s="38" t="s">
        <v>41</v>
      </c>
      <c r="N3" s="38"/>
      <c r="O3" s="38" t="s">
        <v>42</v>
      </c>
      <c r="P3" s="38"/>
      <c r="X3" s="38" t="s">
        <v>41</v>
      </c>
      <c r="Y3" s="38"/>
      <c r="Z3" s="38" t="s">
        <v>42</v>
      </c>
      <c r="AA3" s="38"/>
      <c r="AB3" s="38" t="s">
        <v>41</v>
      </c>
      <c r="AC3" s="38"/>
      <c r="AD3" s="38" t="s">
        <v>42</v>
      </c>
      <c r="AE3" s="38"/>
      <c r="AM3" s="38" t="s">
        <v>41</v>
      </c>
      <c r="AN3" s="38"/>
      <c r="AO3" s="38" t="s">
        <v>42</v>
      </c>
      <c r="AP3" s="38"/>
      <c r="AQ3" s="38" t="s">
        <v>41</v>
      </c>
      <c r="AR3" s="38"/>
      <c r="AS3" s="38" t="s">
        <v>42</v>
      </c>
      <c r="AT3" s="38"/>
    </row>
    <row r="4" spans="1:47" x14ac:dyDescent="0.3">
      <c r="A4">
        <v>2003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6"/>
    </row>
    <row r="5" spans="1:47" x14ac:dyDescent="0.3">
      <c r="A5">
        <v>2004</v>
      </c>
      <c r="C5" s="13">
        <v>0.63291215896606445</v>
      </c>
      <c r="D5" s="13">
        <v>4.4705141335725784E-3</v>
      </c>
      <c r="E5" s="13">
        <v>0.65733647346496582</v>
      </c>
      <c r="F5" s="13">
        <v>4.6475720591843128E-3</v>
      </c>
      <c r="G5" s="13">
        <v>0.8185504674911499</v>
      </c>
      <c r="H5" s="13">
        <v>5.9401504695415497E-3</v>
      </c>
      <c r="I5" s="13">
        <v>0.97126907110214233</v>
      </c>
      <c r="J5" s="13">
        <v>7.2051247116178274E-4</v>
      </c>
      <c r="K5" s="13">
        <v>0.96269285678863525</v>
      </c>
      <c r="L5" s="13">
        <v>1.0201801778748631E-3</v>
      </c>
      <c r="M5" s="13">
        <v>0.25204828381538391</v>
      </c>
      <c r="N5" s="13">
        <v>9.7220893949270248E-3</v>
      </c>
      <c r="O5" s="13">
        <v>0.29074054956436157</v>
      </c>
      <c r="P5" s="13">
        <v>9.5156347379088402E-3</v>
      </c>
      <c r="Q5" s="14"/>
      <c r="R5" s="13">
        <v>0.32202321290969849</v>
      </c>
      <c r="S5" s="13">
        <v>4.624607041478157E-3</v>
      </c>
      <c r="T5" s="13">
        <v>0.30667480826377869</v>
      </c>
      <c r="U5" s="13">
        <v>4.4559407979249954E-3</v>
      </c>
      <c r="V5" s="13">
        <v>0.8416215181350708</v>
      </c>
      <c r="W5" s="13">
        <v>1.1989327147603035E-2</v>
      </c>
      <c r="X5" s="13">
        <v>0.87283831834793091</v>
      </c>
      <c r="Y5" s="13">
        <v>5.189353134483099E-3</v>
      </c>
      <c r="Z5" s="13">
        <v>0.82377785444259644</v>
      </c>
      <c r="AA5" s="13">
        <v>7.2765424847602844E-3</v>
      </c>
      <c r="AB5" s="13">
        <v>2.4760505184531212E-2</v>
      </c>
      <c r="AC5" s="13">
        <v>1.9363036379218102E-2</v>
      </c>
      <c r="AD5" s="13">
        <v>5.7110123336315155E-2</v>
      </c>
      <c r="AE5" s="13">
        <v>1.7672425135970116E-2</v>
      </c>
      <c r="AF5" s="14"/>
      <c r="AG5" s="13">
        <v>0.64787775278091431</v>
      </c>
      <c r="AH5" s="13">
        <v>1.0795107111334801E-2</v>
      </c>
      <c r="AI5" s="13">
        <v>0.67936164140701294</v>
      </c>
      <c r="AJ5" s="13">
        <v>1.020075473934412E-2</v>
      </c>
      <c r="AK5" s="13">
        <v>0.85290402173995972</v>
      </c>
      <c r="AL5" s="13">
        <v>1.1869663372635841E-2</v>
      </c>
      <c r="AM5" s="13">
        <v>0.97237873077392578</v>
      </c>
      <c r="AN5" s="13">
        <v>1.3731160433962941E-3</v>
      </c>
      <c r="AO5" s="13">
        <v>0.96783691644668579</v>
      </c>
      <c r="AP5" s="13">
        <v>1.5279253711923957E-3</v>
      </c>
      <c r="AQ5" s="13">
        <v>0.33172282576560974</v>
      </c>
      <c r="AR5" s="13">
        <v>2.0311644300818443E-2</v>
      </c>
      <c r="AS5" s="13">
        <v>0.35314857959747314</v>
      </c>
      <c r="AT5" s="13">
        <v>2.058694139122963E-2</v>
      </c>
      <c r="AU5" s="7"/>
    </row>
    <row r="6" spans="1:47" x14ac:dyDescent="0.3">
      <c r="A6">
        <v>2005</v>
      </c>
      <c r="C6" s="10">
        <v>0.63920736312866211</v>
      </c>
      <c r="D6" s="10">
        <v>4.4572651386260986E-3</v>
      </c>
      <c r="E6" s="10">
        <v>0.66621136665344238</v>
      </c>
      <c r="F6" s="10">
        <v>4.2809490114450455E-3</v>
      </c>
      <c r="G6" s="10">
        <v>0.82147186994552612</v>
      </c>
      <c r="H6" s="10">
        <v>4.6935123391449451E-3</v>
      </c>
      <c r="I6" s="10">
        <v>0.97108942270278931</v>
      </c>
      <c r="J6" s="10">
        <v>6.032382370904088E-4</v>
      </c>
      <c r="K6" s="10">
        <v>0.96295887231826782</v>
      </c>
      <c r="L6" s="10">
        <v>8.5848098387941718E-4</v>
      </c>
      <c r="M6" s="10">
        <v>0.26184171438217163</v>
      </c>
      <c r="N6" s="10">
        <v>9.5153572037816048E-3</v>
      </c>
      <c r="O6" s="10">
        <v>0.30348137021064758</v>
      </c>
      <c r="P6" s="10">
        <v>8.4975818172097206E-3</v>
      </c>
      <c r="Q6" s="11"/>
      <c r="R6" s="10">
        <v>0.31676197052001953</v>
      </c>
      <c r="S6" s="10">
        <v>3.8585732690989971E-3</v>
      </c>
      <c r="T6" s="10">
        <v>0.30239060521125793</v>
      </c>
      <c r="U6" s="10">
        <v>3.4503939095884562E-3</v>
      </c>
      <c r="V6" s="10">
        <v>0.81413948535919189</v>
      </c>
      <c r="W6" s="10">
        <v>1.1109896004199982E-2</v>
      </c>
      <c r="X6" s="10">
        <v>0.86635810136795044</v>
      </c>
      <c r="Y6" s="10">
        <v>5.0459392368793488E-3</v>
      </c>
      <c r="Z6" s="10">
        <v>0.82729607820510864</v>
      </c>
      <c r="AA6" s="10">
        <v>6.8299337290227413E-3</v>
      </c>
      <c r="AB6" s="10">
        <v>4.9680747091770172E-2</v>
      </c>
      <c r="AC6" s="10">
        <v>1.6315162181854248E-2</v>
      </c>
      <c r="AD6" s="10">
        <v>8.2565806806087494E-2</v>
      </c>
      <c r="AE6" s="10">
        <v>1.9052201882004738E-2</v>
      </c>
      <c r="AF6" s="11"/>
      <c r="AG6" s="10">
        <v>0.63428282737731934</v>
      </c>
      <c r="AH6" s="10">
        <v>9.8531581461429596E-3</v>
      </c>
      <c r="AI6" s="10">
        <v>0.6743130087852478</v>
      </c>
      <c r="AJ6" s="10">
        <v>9.7847701981663704E-3</v>
      </c>
      <c r="AK6" s="10">
        <v>0.85154622793197632</v>
      </c>
      <c r="AL6" s="10">
        <v>1.233393419533968E-2</v>
      </c>
      <c r="AM6" s="10">
        <v>0.96905553340911865</v>
      </c>
      <c r="AN6" s="10">
        <v>1.4864500844851136E-3</v>
      </c>
      <c r="AO6" s="10">
        <v>0.96667593717575073</v>
      </c>
      <c r="AP6" s="10">
        <v>1.5466565964743495E-3</v>
      </c>
      <c r="AQ6" s="10">
        <v>0.31418737769126892</v>
      </c>
      <c r="AR6" s="10">
        <v>2.1045638248324394E-2</v>
      </c>
      <c r="AS6" s="10">
        <v>0.34452176094055176</v>
      </c>
      <c r="AT6" s="10">
        <v>2.2526070475578308E-2</v>
      </c>
      <c r="AU6" s="6"/>
    </row>
    <row r="7" spans="1:47" x14ac:dyDescent="0.3">
      <c r="A7">
        <v>2006</v>
      </c>
      <c r="C7" s="10">
        <v>0.64062809944152832</v>
      </c>
      <c r="D7" s="10">
        <v>4.2976383119821548E-3</v>
      </c>
      <c r="E7" s="10">
        <v>0.66931188106536865</v>
      </c>
      <c r="F7" s="10">
        <v>4.5097814872860909E-3</v>
      </c>
      <c r="G7" s="10">
        <v>0.83001905679702759</v>
      </c>
      <c r="H7" s="10">
        <v>5.2471901290118694E-3</v>
      </c>
      <c r="I7" s="10">
        <v>0.96934062242507935</v>
      </c>
      <c r="J7" s="10">
        <v>6.6935457289218903E-4</v>
      </c>
      <c r="K7" s="10">
        <v>0.96181505918502808</v>
      </c>
      <c r="L7" s="10">
        <v>1.0735467076301575E-3</v>
      </c>
      <c r="M7" s="10">
        <v>0.26256451010704041</v>
      </c>
      <c r="N7" s="10">
        <v>9.6553713083267212E-3</v>
      </c>
      <c r="O7" s="10">
        <v>0.3072114884853363</v>
      </c>
      <c r="P7" s="10">
        <v>9.8103079944849014E-3</v>
      </c>
      <c r="Q7" s="11"/>
      <c r="R7" s="10">
        <v>0.32133308053016663</v>
      </c>
      <c r="S7" s="10">
        <v>4.2855632491409779E-3</v>
      </c>
      <c r="T7" s="10">
        <v>0.30581700801849365</v>
      </c>
      <c r="U7" s="10">
        <v>4.0876776911318302E-3</v>
      </c>
      <c r="V7" s="10">
        <v>0.82929801940917969</v>
      </c>
      <c r="W7" s="10">
        <v>1.1432595551013947E-2</v>
      </c>
      <c r="X7" s="10">
        <v>0.86040586233139038</v>
      </c>
      <c r="Y7" s="10">
        <v>5.9004314243793488E-3</v>
      </c>
      <c r="Z7" s="10">
        <v>0.82003462314605713</v>
      </c>
      <c r="AA7" s="10">
        <v>7.8785866498947144E-3</v>
      </c>
      <c r="AB7" s="10">
        <v>1.4782113023102283E-2</v>
      </c>
      <c r="AC7" s="10">
        <v>1.7044859007000923E-2</v>
      </c>
      <c r="AD7" s="10">
        <v>4.0298964828252792E-2</v>
      </c>
      <c r="AE7" s="10">
        <v>2.041141502559185E-2</v>
      </c>
      <c r="AF7" s="11"/>
      <c r="AG7" s="10">
        <v>0.63946014642715454</v>
      </c>
      <c r="AH7" s="10">
        <v>9.7419191151857376E-3</v>
      </c>
      <c r="AI7" s="10">
        <v>0.67626076936721802</v>
      </c>
      <c r="AJ7" s="10">
        <v>1.0868269950151443E-2</v>
      </c>
      <c r="AK7" s="10">
        <v>0.85053646564483643</v>
      </c>
      <c r="AL7" s="10">
        <v>1.1166630312800407E-2</v>
      </c>
      <c r="AM7" s="10">
        <v>0.96877694129943848</v>
      </c>
      <c r="AN7" s="10">
        <v>1.4421873493120074E-3</v>
      </c>
      <c r="AO7" s="10">
        <v>0.96607017517089844</v>
      </c>
      <c r="AP7" s="10">
        <v>1.7593610100448132E-3</v>
      </c>
      <c r="AQ7" s="10">
        <v>0.31187543272972107</v>
      </c>
      <c r="AR7" s="10">
        <v>2.3165125399827957E-2</v>
      </c>
      <c r="AS7" s="10">
        <v>0.33309152722358704</v>
      </c>
      <c r="AT7" s="10">
        <v>1.788754016160965E-2</v>
      </c>
      <c r="AU7" s="6"/>
    </row>
    <row r="8" spans="1:47" x14ac:dyDescent="0.3">
      <c r="A8">
        <v>2007</v>
      </c>
      <c r="C8" s="10">
        <v>0.63363087177276611</v>
      </c>
      <c r="D8" s="10">
        <v>5.2094566635787487E-3</v>
      </c>
      <c r="E8" s="10">
        <v>0.66874098777770996</v>
      </c>
      <c r="F8" s="10">
        <v>5.6857508607208729E-3</v>
      </c>
      <c r="G8" s="10">
        <v>0.86805528402328491</v>
      </c>
      <c r="H8" s="10">
        <v>5.5938824079930782E-3</v>
      </c>
      <c r="I8" s="10">
        <v>0.96770292520523071</v>
      </c>
      <c r="J8" s="10">
        <v>8.5432222113013268E-4</v>
      </c>
      <c r="K8" s="10">
        <v>0.9581950306892395</v>
      </c>
      <c r="L8" s="10">
        <v>1.1779465712606907E-3</v>
      </c>
      <c r="M8" s="10">
        <v>0.26598265767097473</v>
      </c>
      <c r="N8" s="10">
        <v>9.5060141757130623E-3</v>
      </c>
      <c r="O8" s="10">
        <v>0.30582550168037415</v>
      </c>
      <c r="P8" s="10">
        <v>9.4372276216745377E-3</v>
      </c>
      <c r="Q8" s="11"/>
      <c r="R8" s="10">
        <v>0.32217651605606079</v>
      </c>
      <c r="S8" s="10">
        <v>6.0789491981267929E-3</v>
      </c>
      <c r="T8" s="10">
        <v>0.31260046362876892</v>
      </c>
      <c r="U8" s="10">
        <v>4.5059164986014366E-3</v>
      </c>
      <c r="V8" s="10">
        <v>0.8721233606338501</v>
      </c>
      <c r="W8" s="10">
        <v>1.2577961198985577E-2</v>
      </c>
      <c r="X8" s="10">
        <v>0.86157119274139404</v>
      </c>
      <c r="Y8" s="10">
        <v>6.6685602068901062E-3</v>
      </c>
      <c r="Z8" s="10">
        <v>0.82044839859008789</v>
      </c>
      <c r="AA8" s="10">
        <v>8.7707983329892159E-3</v>
      </c>
      <c r="AB8" s="10">
        <v>3.1501562334597111E-3</v>
      </c>
      <c r="AC8" s="10">
        <v>2.1473966538906097E-2</v>
      </c>
      <c r="AD8" s="10">
        <v>3.4201342612504959E-2</v>
      </c>
      <c r="AE8" s="10">
        <v>1.9446570426225662E-2</v>
      </c>
      <c r="AF8" s="11"/>
      <c r="AG8" s="10">
        <v>0.62756520509719849</v>
      </c>
      <c r="AH8" s="10">
        <v>1.0258978232741356E-2</v>
      </c>
      <c r="AI8" s="10">
        <v>0.6722559928894043</v>
      </c>
      <c r="AJ8" s="10">
        <v>9.7732106223702431E-3</v>
      </c>
      <c r="AK8" s="10">
        <v>0.88779622316360474</v>
      </c>
      <c r="AL8" s="10">
        <v>1.360479649156332E-2</v>
      </c>
      <c r="AM8" s="10">
        <v>0.96536266803741455</v>
      </c>
      <c r="AN8" s="10">
        <v>2.1877097897231579E-3</v>
      </c>
      <c r="AO8" s="10">
        <v>0.96168696880340576</v>
      </c>
      <c r="AP8" s="10">
        <v>2.3720082826912403E-3</v>
      </c>
      <c r="AQ8" s="10">
        <v>0.32800191640853882</v>
      </c>
      <c r="AR8" s="10">
        <v>2.0600438117980957E-2</v>
      </c>
      <c r="AS8" s="10">
        <v>0.3468342125415802</v>
      </c>
      <c r="AT8" s="10">
        <v>2.2183965891599655E-2</v>
      </c>
      <c r="AU8" s="6"/>
    </row>
    <row r="9" spans="1:47" x14ac:dyDescent="0.3">
      <c r="A9">
        <v>2008</v>
      </c>
      <c r="C9" s="10">
        <v>0.64053744077682495</v>
      </c>
      <c r="D9" s="10">
        <v>4.9716271460056305E-3</v>
      </c>
      <c r="E9" s="10">
        <v>0.67202448844909668</v>
      </c>
      <c r="F9" s="10">
        <v>4.4583752751350403E-3</v>
      </c>
      <c r="G9" s="10">
        <v>0.87751370668411255</v>
      </c>
      <c r="H9" s="10">
        <v>6.13016402348876E-3</v>
      </c>
      <c r="I9" s="10">
        <v>0.96630847454071045</v>
      </c>
      <c r="J9" s="10">
        <v>8.4566092118620872E-4</v>
      </c>
      <c r="K9" s="10">
        <v>0.95652568340301514</v>
      </c>
      <c r="L9" s="10">
        <v>1.3192945625633001E-3</v>
      </c>
      <c r="M9" s="10">
        <v>0.28226977586746216</v>
      </c>
      <c r="N9" s="10">
        <v>9.5003880560398102E-3</v>
      </c>
      <c r="O9" s="10">
        <v>0.31469470262527466</v>
      </c>
      <c r="P9" s="10">
        <v>1.0037882253527641E-2</v>
      </c>
      <c r="Q9" s="11"/>
      <c r="R9" s="10">
        <v>0.32440894842147827</v>
      </c>
      <c r="S9" s="10">
        <v>4.5928088948130608E-3</v>
      </c>
      <c r="T9" s="10">
        <v>0.31371551752090454</v>
      </c>
      <c r="U9" s="10">
        <v>4.8206332139670849E-3</v>
      </c>
      <c r="V9" s="10">
        <v>0.88226926326751709</v>
      </c>
      <c r="W9" s="10">
        <v>1.4853552915155888E-2</v>
      </c>
      <c r="X9" s="10">
        <v>0.8608052134513855</v>
      </c>
      <c r="Y9" s="10">
        <v>6.1785285361111164E-3</v>
      </c>
      <c r="Z9" s="10">
        <v>0.82496094703674316</v>
      </c>
      <c r="AA9" s="10">
        <v>7.8686391934752464E-3</v>
      </c>
      <c r="AB9" s="10">
        <v>4.3623186647891998E-2</v>
      </c>
      <c r="AC9" s="10">
        <v>2.2175893187522888E-2</v>
      </c>
      <c r="AD9" s="10">
        <v>6.9450303912162781E-2</v>
      </c>
      <c r="AE9" s="10">
        <v>2.2422311827540398E-2</v>
      </c>
      <c r="AF9" s="11"/>
      <c r="AG9" s="10">
        <v>0.61776155233383179</v>
      </c>
      <c r="AH9" s="10">
        <v>1.1185058392584324E-2</v>
      </c>
      <c r="AI9" s="10">
        <v>0.66484606266021729</v>
      </c>
      <c r="AJ9" s="10">
        <v>1.0532637126743793E-2</v>
      </c>
      <c r="AK9" s="10">
        <v>0.88484412431716919</v>
      </c>
      <c r="AL9" s="10">
        <v>1.1244841851294041E-2</v>
      </c>
      <c r="AM9" s="10">
        <v>0.96811807155609131</v>
      </c>
      <c r="AN9" s="10">
        <v>1.9245640141889453E-3</v>
      </c>
      <c r="AO9" s="10">
        <v>0.96379721164703369</v>
      </c>
      <c r="AP9" s="10">
        <v>2.136782743036747E-3</v>
      </c>
      <c r="AQ9" s="10">
        <v>0.34461593627929688</v>
      </c>
      <c r="AR9" s="10">
        <v>2.0515019074082375E-2</v>
      </c>
      <c r="AS9" s="10">
        <v>0.36750602722167969</v>
      </c>
      <c r="AT9" s="10">
        <v>2.1537799388170242E-2</v>
      </c>
      <c r="AU9" s="6"/>
    </row>
    <row r="10" spans="1:47" x14ac:dyDescent="0.3">
      <c r="A10">
        <v>2009</v>
      </c>
      <c r="C10" s="10">
        <v>0.64150428771972656</v>
      </c>
      <c r="D10" s="10">
        <v>5.1699783653020859E-3</v>
      </c>
      <c r="E10" s="10">
        <v>0.67391002178192139</v>
      </c>
      <c r="F10" s="10">
        <v>4.9503687769174576E-3</v>
      </c>
      <c r="G10" s="10">
        <v>0.87391173839569092</v>
      </c>
      <c r="H10" s="10">
        <v>6.1569875106215477E-3</v>
      </c>
      <c r="I10" s="10">
        <v>0.96678626537322998</v>
      </c>
      <c r="J10" s="10">
        <v>8.2450552145019174E-4</v>
      </c>
      <c r="K10" s="10">
        <v>0.95789110660552979</v>
      </c>
      <c r="L10" s="10">
        <v>1.2018010020256042E-3</v>
      </c>
      <c r="M10" s="10">
        <v>0.28915247321128845</v>
      </c>
      <c r="N10" s="10">
        <v>9.0443519875407219E-3</v>
      </c>
      <c r="O10" s="10">
        <v>0.31716310977935791</v>
      </c>
      <c r="P10" s="10">
        <v>9.6566416323184967E-3</v>
      </c>
      <c r="Q10" s="11"/>
      <c r="R10" s="10">
        <v>0.32742902636528015</v>
      </c>
      <c r="S10" s="10">
        <v>4.7726673074066639E-3</v>
      </c>
      <c r="T10" s="10">
        <v>0.3173774778842926</v>
      </c>
      <c r="U10" s="10">
        <v>4.797512199729681E-3</v>
      </c>
      <c r="V10" s="10">
        <v>0.85906082391738892</v>
      </c>
      <c r="W10" s="10">
        <v>1.2635164894163609E-2</v>
      </c>
      <c r="X10" s="10">
        <v>0.85547947883605957</v>
      </c>
      <c r="Y10" s="10">
        <v>7.2127683088183403E-3</v>
      </c>
      <c r="Z10" s="10">
        <v>0.81691598892211914</v>
      </c>
      <c r="AA10" s="10">
        <v>8.5383597761392593E-3</v>
      </c>
      <c r="AB10" s="10">
        <v>5.7546775788068771E-2</v>
      </c>
      <c r="AC10" s="10">
        <v>1.8194392323493958E-2</v>
      </c>
      <c r="AD10" s="10">
        <v>7.4524387717247009E-2</v>
      </c>
      <c r="AE10" s="10">
        <v>2.2369474172592163E-2</v>
      </c>
      <c r="AF10" s="11"/>
      <c r="AG10" s="10">
        <v>0.62876564264297485</v>
      </c>
      <c r="AH10" s="10">
        <v>9.4720441848039627E-3</v>
      </c>
      <c r="AI10" s="10">
        <v>0.67110449075698853</v>
      </c>
      <c r="AJ10" s="10">
        <v>9.5875123515725136E-3</v>
      </c>
      <c r="AK10" s="10">
        <v>0.87229955196380615</v>
      </c>
      <c r="AL10" s="10">
        <v>1.2878867797553539E-2</v>
      </c>
      <c r="AM10" s="10">
        <v>0.96849340200424194</v>
      </c>
      <c r="AN10" s="10">
        <v>1.5674472087994218E-3</v>
      </c>
      <c r="AO10" s="10">
        <v>0.96579152345657349</v>
      </c>
      <c r="AP10" s="10">
        <v>1.7153882654383779E-3</v>
      </c>
      <c r="AQ10" s="10">
        <v>0.37266570329666138</v>
      </c>
      <c r="AR10" s="10">
        <v>2.1915959194302559E-2</v>
      </c>
      <c r="AS10" s="10">
        <v>0.38016378879547119</v>
      </c>
      <c r="AT10" s="10">
        <v>2.193601056933403E-2</v>
      </c>
      <c r="AU10" s="6"/>
    </row>
    <row r="11" spans="1:47" x14ac:dyDescent="0.3">
      <c r="A11">
        <v>2010</v>
      </c>
      <c r="C11" s="10">
        <v>0.65013211965560913</v>
      </c>
      <c r="D11" s="10">
        <v>5.6638955138623714E-3</v>
      </c>
      <c r="E11" s="10">
        <v>0.68004912137985229</v>
      </c>
      <c r="F11" s="10">
        <v>5.3371456451714039E-3</v>
      </c>
      <c r="G11" s="10">
        <v>0.88306283950805664</v>
      </c>
      <c r="H11" s="10">
        <v>6.5790368244051933E-3</v>
      </c>
      <c r="I11" s="10">
        <v>0.96659582853317261</v>
      </c>
      <c r="J11" s="10">
        <v>1.0030382545664907E-3</v>
      </c>
      <c r="K11" s="10">
        <v>0.95617705583572388</v>
      </c>
      <c r="L11" s="10">
        <v>1.3311004731804132E-3</v>
      </c>
      <c r="M11" s="10">
        <v>0.28180855512619019</v>
      </c>
      <c r="N11" s="10">
        <v>1.1504702270030975E-2</v>
      </c>
      <c r="O11" s="10">
        <v>0.30381244421005249</v>
      </c>
      <c r="P11" s="10">
        <v>9.3247471377253532E-3</v>
      </c>
      <c r="Q11" s="11"/>
      <c r="R11" s="10">
        <v>0.34040629863739014</v>
      </c>
      <c r="S11" s="10">
        <v>5.3872396238148212E-3</v>
      </c>
      <c r="T11" s="10">
        <v>0.32923296093940735</v>
      </c>
      <c r="U11" s="10">
        <v>5.1318719051778316E-3</v>
      </c>
      <c r="V11" s="10">
        <v>0.87831318378448486</v>
      </c>
      <c r="W11" s="10">
        <v>1.4293625019490719E-2</v>
      </c>
      <c r="X11" s="10">
        <v>0.86327254772186279</v>
      </c>
      <c r="Y11" s="10">
        <v>6.1520421877503395E-3</v>
      </c>
      <c r="Z11" s="10">
        <v>0.82704228162765503</v>
      </c>
      <c r="AA11" s="10">
        <v>8.8847605511546135E-3</v>
      </c>
      <c r="AB11" s="10">
        <v>4.9642361700534821E-2</v>
      </c>
      <c r="AC11" s="10">
        <v>2.1280964836478233E-2</v>
      </c>
      <c r="AD11" s="10">
        <v>6.1941932886838913E-2</v>
      </c>
      <c r="AE11" s="10">
        <v>2.4115454405546188E-2</v>
      </c>
      <c r="AF11" s="11"/>
      <c r="AG11" s="10">
        <v>0.62510126829147339</v>
      </c>
      <c r="AH11" s="10">
        <v>1.0665936395525932E-2</v>
      </c>
      <c r="AI11" s="10">
        <v>0.67030131816864014</v>
      </c>
      <c r="AJ11" s="10">
        <v>1.2190007604658604E-2</v>
      </c>
      <c r="AK11" s="10">
        <v>0.85209167003631592</v>
      </c>
      <c r="AL11" s="10">
        <v>1.2148305773735046E-2</v>
      </c>
      <c r="AM11" s="10">
        <v>0.96933859586715698</v>
      </c>
      <c r="AN11" s="10">
        <v>1.7750205006450415E-3</v>
      </c>
      <c r="AO11" s="10">
        <v>0.96363705396652222</v>
      </c>
      <c r="AP11" s="10">
        <v>2.3383607622236013E-3</v>
      </c>
      <c r="AQ11" s="10">
        <v>0.31841418147087097</v>
      </c>
      <c r="AR11" s="10">
        <v>2.1555900573730469E-2</v>
      </c>
      <c r="AS11" s="10">
        <v>0.32317233085632324</v>
      </c>
      <c r="AT11" s="10">
        <v>2.2373966872692108E-2</v>
      </c>
      <c r="AU11" s="6"/>
    </row>
    <row r="12" spans="1:47" x14ac:dyDescent="0.3">
      <c r="A12">
        <v>2011</v>
      </c>
      <c r="C12" s="10">
        <v>0.64168119430541992</v>
      </c>
      <c r="D12" s="10">
        <v>5.7509029284119606E-3</v>
      </c>
      <c r="E12" s="10">
        <v>0.67633241415023804</v>
      </c>
      <c r="F12" s="10">
        <v>5.6659802794456482E-3</v>
      </c>
      <c r="G12" s="10">
        <v>0.91856086254119873</v>
      </c>
      <c r="H12" s="10">
        <v>7.7330642379820347E-3</v>
      </c>
      <c r="I12" s="10">
        <v>0.96460670232772827</v>
      </c>
      <c r="J12" s="10">
        <v>1.0144799016416073E-3</v>
      </c>
      <c r="K12" s="10">
        <v>0.9541165828704834</v>
      </c>
      <c r="L12" s="10">
        <v>1.2205240782350302E-3</v>
      </c>
      <c r="M12" s="10">
        <v>0.29332134127616882</v>
      </c>
      <c r="N12" s="10">
        <v>1.0834436863660812E-2</v>
      </c>
      <c r="O12" s="10">
        <v>0.31712096929550171</v>
      </c>
      <c r="P12" s="10">
        <v>1.0535728186368942E-2</v>
      </c>
      <c r="Q12" s="11"/>
      <c r="R12" s="10">
        <v>0.33090689778327942</v>
      </c>
      <c r="S12" s="10">
        <v>5.3259655833244324E-3</v>
      </c>
      <c r="T12" s="10">
        <v>0.32561144232749939</v>
      </c>
      <c r="U12" s="10">
        <v>5.4361983202397823E-3</v>
      </c>
      <c r="V12" s="10">
        <v>0.9486004114151001</v>
      </c>
      <c r="W12" s="10">
        <v>1.5358536504209042E-2</v>
      </c>
      <c r="X12" s="10">
        <v>0.84743839502334595</v>
      </c>
      <c r="Y12" s="10">
        <v>7.7332211658358574E-3</v>
      </c>
      <c r="Z12" s="10">
        <v>0.79488849639892578</v>
      </c>
      <c r="AA12" s="10">
        <v>9.4823800027370453E-3</v>
      </c>
      <c r="AB12" s="10">
        <v>5.9846606105566025E-2</v>
      </c>
      <c r="AC12" s="10">
        <v>2.0914772525429726E-2</v>
      </c>
      <c r="AD12" s="10">
        <v>8.6240701377391815E-2</v>
      </c>
      <c r="AE12" s="10">
        <v>2.310541458427906E-2</v>
      </c>
      <c r="AF12" s="11"/>
      <c r="AG12" s="10">
        <v>0.61168175935745239</v>
      </c>
      <c r="AH12" s="10">
        <v>1.1439742520451546E-2</v>
      </c>
      <c r="AI12" s="10">
        <v>0.65976005792617798</v>
      </c>
      <c r="AJ12" s="10">
        <v>1.1385868303477764E-2</v>
      </c>
      <c r="AK12" s="10">
        <v>0.91696882247924805</v>
      </c>
      <c r="AL12" s="10">
        <v>1.659061387181282E-2</v>
      </c>
      <c r="AM12" s="10">
        <v>0.96562051773071289</v>
      </c>
      <c r="AN12" s="10">
        <v>1.9863324705511332E-3</v>
      </c>
      <c r="AO12" s="10">
        <v>0.96002852916717529</v>
      </c>
      <c r="AP12" s="10">
        <v>2.420404925942421E-3</v>
      </c>
      <c r="AQ12" s="10">
        <v>0.34049162268638611</v>
      </c>
      <c r="AR12" s="10">
        <v>2.3688901215791702E-2</v>
      </c>
      <c r="AS12" s="10">
        <v>0.36018168926239014</v>
      </c>
      <c r="AT12" s="10">
        <v>2.2210350260138512E-2</v>
      </c>
      <c r="AU12" s="6"/>
    </row>
    <row r="13" spans="1:47" x14ac:dyDescent="0.3">
      <c r="A13">
        <v>2012</v>
      </c>
      <c r="C13" s="10">
        <v>0.6424139142036438</v>
      </c>
      <c r="D13" s="10">
        <v>6.0869487933814526E-3</v>
      </c>
      <c r="E13" s="10">
        <v>0.6747010350227356</v>
      </c>
      <c r="F13" s="10">
        <v>5.799461156129837E-3</v>
      </c>
      <c r="G13" s="10">
        <v>0.93078964948654175</v>
      </c>
      <c r="H13" s="10">
        <v>7.5900983065366745E-3</v>
      </c>
      <c r="I13" s="10">
        <v>0.96385675668716431</v>
      </c>
      <c r="J13" s="10">
        <v>1.0244208388030529E-3</v>
      </c>
      <c r="K13" s="10">
        <v>0.95221483707427979</v>
      </c>
      <c r="L13" s="10">
        <v>1.4748491812497377E-3</v>
      </c>
      <c r="M13" s="10">
        <v>0.30974718928337097</v>
      </c>
      <c r="N13" s="10">
        <v>1.1363967321813107E-2</v>
      </c>
      <c r="O13" s="10">
        <v>0.32402756810188293</v>
      </c>
      <c r="P13" s="10">
        <v>1.1054715141654015E-2</v>
      </c>
      <c r="Q13" s="11"/>
      <c r="R13" s="10">
        <v>0.33032506704330444</v>
      </c>
      <c r="S13" s="10">
        <v>6.2740365974605083E-3</v>
      </c>
      <c r="T13" s="10">
        <v>0.31905192136764526</v>
      </c>
      <c r="U13" s="10">
        <v>5.8060945011675358E-3</v>
      </c>
      <c r="V13" s="10">
        <v>0.92861765623092651</v>
      </c>
      <c r="W13" s="10">
        <v>1.4016246423125267E-2</v>
      </c>
      <c r="X13" s="10">
        <v>0.85056126117706299</v>
      </c>
      <c r="Y13" s="10">
        <v>7.315109483897686E-3</v>
      </c>
      <c r="Z13" s="10">
        <v>0.78774392604827881</v>
      </c>
      <c r="AA13" s="10">
        <v>8.5936365649104118E-3</v>
      </c>
      <c r="AB13" s="10">
        <v>7.6348587870597839E-2</v>
      </c>
      <c r="AC13" s="10">
        <v>2.7016876265406609E-2</v>
      </c>
      <c r="AD13" s="10">
        <v>9.5374882221221924E-2</v>
      </c>
      <c r="AE13" s="10">
        <v>2.6047347113490105E-2</v>
      </c>
      <c r="AF13" s="11"/>
      <c r="AG13" s="10">
        <v>0.63240522146224976</v>
      </c>
      <c r="AH13" s="10">
        <v>1.0892902500927448E-2</v>
      </c>
      <c r="AI13" s="10">
        <v>0.67296892404556274</v>
      </c>
      <c r="AJ13" s="10">
        <v>1.2130705639719963E-2</v>
      </c>
      <c r="AK13" s="10">
        <v>0.95332044363021851</v>
      </c>
      <c r="AL13" s="10">
        <v>1.3160910457372665E-2</v>
      </c>
      <c r="AM13" s="10">
        <v>0.96906518936157227</v>
      </c>
      <c r="AN13" s="10">
        <v>1.8298008944839239E-3</v>
      </c>
      <c r="AO13" s="10">
        <v>0.96429508924484253</v>
      </c>
      <c r="AP13" s="10">
        <v>2.5204785633832216E-3</v>
      </c>
      <c r="AQ13" s="10">
        <v>0.32441619038581848</v>
      </c>
      <c r="AR13" s="10">
        <v>2.7669081464409828E-2</v>
      </c>
      <c r="AS13" s="10">
        <v>0.35131028294563293</v>
      </c>
      <c r="AT13" s="10">
        <v>2.2557307034730911E-2</v>
      </c>
      <c r="AU13" s="6"/>
    </row>
    <row r="14" spans="1:47" x14ac:dyDescent="0.3">
      <c r="A14">
        <v>2013</v>
      </c>
      <c r="C14" s="10">
        <v>0.68408972024917603</v>
      </c>
      <c r="D14" s="10">
        <v>7.073964923620224E-3</v>
      </c>
      <c r="E14" s="10">
        <v>0.71469122171401978</v>
      </c>
      <c r="F14" s="10">
        <v>6.1462982557713985E-3</v>
      </c>
      <c r="G14" s="10">
        <v>0.96731096506118774</v>
      </c>
      <c r="H14" s="10">
        <v>7.1879597380757332E-3</v>
      </c>
      <c r="I14" s="10">
        <v>0.96756750345230103</v>
      </c>
      <c r="J14" s="10">
        <v>1.0432550916448236E-3</v>
      </c>
      <c r="K14" s="10">
        <v>0.95484459400177002</v>
      </c>
      <c r="L14" s="10">
        <v>1.5843879664316773E-3</v>
      </c>
      <c r="M14" s="10">
        <v>0.29647916555404663</v>
      </c>
      <c r="N14" s="10">
        <v>1.1330718174576759E-2</v>
      </c>
      <c r="O14" s="10">
        <v>0.3214450478553772</v>
      </c>
      <c r="P14" s="10">
        <v>1.1622091755270958E-2</v>
      </c>
      <c r="Q14" s="11"/>
      <c r="R14" s="10">
        <v>0.36055478453636169</v>
      </c>
      <c r="S14" s="10">
        <v>6.0721570625901222E-3</v>
      </c>
      <c r="T14" s="10">
        <v>0.35336387157440186</v>
      </c>
      <c r="U14" s="10">
        <v>7.1227713488042355E-3</v>
      </c>
      <c r="V14" s="10">
        <v>0.9765581488609314</v>
      </c>
      <c r="W14" s="10">
        <v>1.7276940867304802E-2</v>
      </c>
      <c r="X14" s="10">
        <v>0.86920249462127686</v>
      </c>
      <c r="Y14" s="10">
        <v>7.4741230346262455E-3</v>
      </c>
      <c r="Z14" s="10">
        <v>0.8110041618347168</v>
      </c>
      <c r="AA14" s="10">
        <v>8.9623099192976952E-3</v>
      </c>
      <c r="AB14" s="10">
        <v>6.2990427017211914E-2</v>
      </c>
      <c r="AC14" s="10">
        <v>2.0911803469061852E-2</v>
      </c>
      <c r="AD14" s="10">
        <v>8.8901810348033905E-2</v>
      </c>
      <c r="AE14" s="10">
        <v>2.5188947096467018E-2</v>
      </c>
      <c r="AF14" s="11"/>
      <c r="AG14" s="10">
        <v>0.65266233682632446</v>
      </c>
      <c r="AH14" s="10">
        <v>1.2716577388346195E-2</v>
      </c>
      <c r="AI14" s="10">
        <v>0.69684708118438721</v>
      </c>
      <c r="AJ14" s="10">
        <v>1.2025276198983192E-2</v>
      </c>
      <c r="AK14" s="10">
        <v>0.98088806867599487</v>
      </c>
      <c r="AL14" s="10">
        <v>1.5356199815869331E-2</v>
      </c>
      <c r="AM14" s="10">
        <v>0.96701616048812866</v>
      </c>
      <c r="AN14" s="10">
        <v>1.8013500375673175E-3</v>
      </c>
      <c r="AO14" s="10">
        <v>0.96062839031219482</v>
      </c>
      <c r="AP14" s="10">
        <v>2.6649984065443277E-3</v>
      </c>
      <c r="AQ14" s="10">
        <v>0.34495770931243896</v>
      </c>
      <c r="AR14" s="10">
        <v>2.8756560757756233E-2</v>
      </c>
      <c r="AS14" s="10">
        <v>0.37444239854812622</v>
      </c>
      <c r="AT14" s="10">
        <v>2.6301560923457146E-2</v>
      </c>
      <c r="AU14" s="6"/>
    </row>
    <row r="15" spans="1:47" x14ac:dyDescent="0.3">
      <c r="A15">
        <v>2014</v>
      </c>
      <c r="C15" s="27">
        <v>0.72866201400756836</v>
      </c>
      <c r="D15" s="27">
        <v>5.7623903267085552E-3</v>
      </c>
      <c r="E15" s="27">
        <v>0.76586467027664185</v>
      </c>
      <c r="F15" s="27">
        <v>6.3777770847082138E-3</v>
      </c>
      <c r="G15" s="27">
        <v>0.99277269840240479</v>
      </c>
      <c r="H15" s="27">
        <v>7.0614726282656193E-3</v>
      </c>
      <c r="I15" s="27">
        <v>0.96900171041488647</v>
      </c>
      <c r="J15" s="27">
        <v>8.9334690710529685E-4</v>
      </c>
      <c r="K15" s="27">
        <v>0.9623759388923645</v>
      </c>
      <c r="L15" s="27">
        <v>1.2571745319291949E-3</v>
      </c>
      <c r="M15" s="27">
        <v>0.29001343250274658</v>
      </c>
      <c r="N15" s="27">
        <v>9.8268277943134308E-3</v>
      </c>
      <c r="O15" s="27">
        <v>0.31508252024650574</v>
      </c>
      <c r="P15" s="27">
        <v>8.5751675069332123E-3</v>
      </c>
      <c r="Q15" s="26"/>
      <c r="R15" s="27">
        <v>0.37500488758087158</v>
      </c>
      <c r="S15" s="27">
        <v>6.2449770048260689E-3</v>
      </c>
      <c r="T15" s="27">
        <v>0.35179495811462402</v>
      </c>
      <c r="U15" s="27">
        <v>5.7782167568802834E-3</v>
      </c>
      <c r="V15" s="27">
        <v>0.98714512586593628</v>
      </c>
      <c r="W15" s="27">
        <v>1.8031494691967964E-2</v>
      </c>
      <c r="X15" s="27">
        <v>0.86407005786895752</v>
      </c>
      <c r="Y15" s="27">
        <v>6.7823678255081177E-3</v>
      </c>
      <c r="Z15" s="27">
        <v>0.8392176628112793</v>
      </c>
      <c r="AA15" s="27">
        <v>9.0283835306763649E-3</v>
      </c>
      <c r="AB15" s="27">
        <v>4.850943386554718E-2</v>
      </c>
      <c r="AC15" s="27">
        <v>2.3783804848790169E-2</v>
      </c>
      <c r="AD15" s="27">
        <v>3.4120954573154449E-2</v>
      </c>
      <c r="AE15" s="27">
        <v>2.7799699455499649E-2</v>
      </c>
      <c r="AF15" s="24"/>
      <c r="AG15" s="27">
        <v>0.69263952970504761</v>
      </c>
      <c r="AH15" s="27">
        <v>1.2426813133060932E-2</v>
      </c>
      <c r="AI15" s="27">
        <v>0.74070489406585693</v>
      </c>
      <c r="AJ15" s="27">
        <v>9.5452815294265747E-3</v>
      </c>
      <c r="AK15" s="27">
        <v>0.95230591297149658</v>
      </c>
      <c r="AL15" s="27">
        <v>1.2464028783142567E-2</v>
      </c>
      <c r="AM15" s="27">
        <v>0.97178763151168823</v>
      </c>
      <c r="AN15" s="27">
        <v>2.086341381072998E-3</v>
      </c>
      <c r="AO15" s="27">
        <v>0.96638631820678711</v>
      </c>
      <c r="AP15" s="27">
        <v>2.5144587270915508E-3</v>
      </c>
      <c r="AQ15" s="27">
        <v>0.29503670334815979</v>
      </c>
      <c r="AR15" s="27">
        <v>2.7138683944940567E-2</v>
      </c>
      <c r="AS15" s="27">
        <v>0.32914707064628601</v>
      </c>
      <c r="AT15" s="27">
        <v>2.5587594136595726E-2</v>
      </c>
      <c r="AU15" s="6"/>
    </row>
    <row r="16" spans="1:47" x14ac:dyDescent="0.3">
      <c r="A16">
        <v>2015</v>
      </c>
      <c r="C16" s="27">
        <v>0.72119772434234619</v>
      </c>
      <c r="D16" s="27">
        <v>6.1598890461027622E-3</v>
      </c>
      <c r="E16" s="27">
        <v>0.75526094436645508</v>
      </c>
      <c r="F16" s="27">
        <v>6.2524680979549885E-3</v>
      </c>
      <c r="G16" s="27">
        <v>1.0263992547988892</v>
      </c>
      <c r="H16" s="27">
        <v>7.6537667773663998E-3</v>
      </c>
      <c r="I16" s="27">
        <v>0.96692121028900146</v>
      </c>
      <c r="J16" s="27">
        <v>8.7670388165861368E-4</v>
      </c>
      <c r="K16" s="27">
        <v>0.95990073680877686</v>
      </c>
      <c r="L16" s="27">
        <v>1.2684804387390614E-3</v>
      </c>
      <c r="M16" s="27">
        <v>0.2805846631526947</v>
      </c>
      <c r="N16" s="27">
        <v>1.1236748658120632E-2</v>
      </c>
      <c r="O16" s="27">
        <v>0.3067481517791748</v>
      </c>
      <c r="P16" s="27">
        <v>1.1084701865911484E-2</v>
      </c>
      <c r="Q16" s="26"/>
      <c r="R16" s="27">
        <v>0.36908602714538574</v>
      </c>
      <c r="S16" s="27">
        <v>6.5099895000457764E-3</v>
      </c>
      <c r="T16" s="27">
        <v>0.33597829937934875</v>
      </c>
      <c r="U16" s="27">
        <v>4.6935770660638809E-3</v>
      </c>
      <c r="V16" s="27">
        <v>1.0865838527679443</v>
      </c>
      <c r="W16" s="27">
        <v>1.9549408927559853E-2</v>
      </c>
      <c r="X16" s="27">
        <v>0.83199751377105713</v>
      </c>
      <c r="Y16" s="27">
        <v>8.3994902670383453E-3</v>
      </c>
      <c r="Z16" s="27">
        <v>0.80098128318786621</v>
      </c>
      <c r="AA16" s="27">
        <v>9.3911653384566307E-3</v>
      </c>
      <c r="AB16" s="27">
        <v>4.6641051769256592E-2</v>
      </c>
      <c r="AC16" s="27">
        <v>2.4735044687986374E-2</v>
      </c>
      <c r="AD16" s="27">
        <v>5.0883404910564423E-2</v>
      </c>
      <c r="AE16" s="27">
        <v>2.2066472098231316E-2</v>
      </c>
      <c r="AF16" s="24"/>
      <c r="AG16" s="27">
        <v>0.65944856405258179</v>
      </c>
      <c r="AH16" s="27">
        <v>1.6549134626984596E-2</v>
      </c>
      <c r="AI16" s="27">
        <v>0.70953333377838135</v>
      </c>
      <c r="AJ16" s="27">
        <v>1.366322860121727E-2</v>
      </c>
      <c r="AK16" s="27">
        <v>1.0092699527740479</v>
      </c>
      <c r="AL16" s="27">
        <v>1.5968931838870049E-2</v>
      </c>
      <c r="AM16" s="27">
        <v>0.96520859003067017</v>
      </c>
      <c r="AN16" s="27">
        <v>2.3328338284045458E-3</v>
      </c>
      <c r="AO16" s="27">
        <v>0.95733189582824707</v>
      </c>
      <c r="AP16" s="27">
        <v>3.4573501907289028E-3</v>
      </c>
      <c r="AQ16" s="27">
        <v>0.32368305325508118</v>
      </c>
      <c r="AR16" s="27">
        <v>2.6054197922348976E-2</v>
      </c>
      <c r="AS16" s="27">
        <v>0.35170233249664307</v>
      </c>
      <c r="AT16" s="27">
        <v>2.4495365098118782E-2</v>
      </c>
      <c r="AU16" s="6"/>
    </row>
    <row r="17" spans="1:47" x14ac:dyDescent="0.3">
      <c r="A17">
        <v>2016</v>
      </c>
      <c r="C17" s="27">
        <v>0.7309766411781311</v>
      </c>
      <c r="D17" s="27">
        <v>7.1177370846271515E-3</v>
      </c>
      <c r="E17" s="27">
        <v>0.76911062002182007</v>
      </c>
      <c r="F17" s="27">
        <v>5.4470347240567207E-3</v>
      </c>
      <c r="G17" s="27">
        <v>1.0359907150268555</v>
      </c>
      <c r="H17" s="27">
        <v>8.733551949262619E-3</v>
      </c>
      <c r="I17" s="27">
        <v>0.965617835521698</v>
      </c>
      <c r="J17" s="27">
        <v>8.6957967141643167E-4</v>
      </c>
      <c r="K17" s="27">
        <v>0.95878297090530396</v>
      </c>
      <c r="L17" s="27">
        <v>1.4986429596319795E-3</v>
      </c>
      <c r="M17" s="27">
        <v>0.29164260625839233</v>
      </c>
      <c r="N17" s="27">
        <v>1.161608099937439E-2</v>
      </c>
      <c r="O17" s="27">
        <v>0.31187582015991211</v>
      </c>
      <c r="P17" s="27">
        <v>1.0283058509230614E-2</v>
      </c>
      <c r="Q17" s="26"/>
      <c r="R17" s="27">
        <v>0.37629815936088562</v>
      </c>
      <c r="S17" s="27">
        <v>6.0626841150224209E-3</v>
      </c>
      <c r="T17" s="27">
        <v>0.34096679091453552</v>
      </c>
      <c r="U17" s="27">
        <v>5.2114948630332947E-3</v>
      </c>
      <c r="V17" s="27">
        <v>1.1106982231140137</v>
      </c>
      <c r="W17" s="27">
        <v>2.0090209320187569E-2</v>
      </c>
      <c r="X17" s="27">
        <v>0.82426702976226807</v>
      </c>
      <c r="Y17" s="27">
        <v>9.4395186752080917E-3</v>
      </c>
      <c r="Z17" s="27">
        <v>0.78426659107208252</v>
      </c>
      <c r="AA17" s="27">
        <v>1.3263693079352379E-2</v>
      </c>
      <c r="AB17" s="27">
        <v>4.6555425971746445E-2</v>
      </c>
      <c r="AC17" s="27">
        <v>2.5646140798926353E-2</v>
      </c>
      <c r="AD17" s="27">
        <v>4.324895516037941E-2</v>
      </c>
      <c r="AE17" s="27">
        <v>2.8702957555651665E-2</v>
      </c>
      <c r="AF17" s="24"/>
      <c r="AG17" s="27">
        <v>0.66394299268722534</v>
      </c>
      <c r="AH17" s="27">
        <v>1.1582723818719387E-2</v>
      </c>
      <c r="AI17" s="27">
        <v>0.71906483173370361</v>
      </c>
      <c r="AJ17" s="27">
        <v>1.6111267730593681E-2</v>
      </c>
      <c r="AK17" s="27">
        <v>1.0610382556915283</v>
      </c>
      <c r="AL17" s="27">
        <v>1.5820072963833809E-2</v>
      </c>
      <c r="AM17" s="27">
        <v>0.96015763282775879</v>
      </c>
      <c r="AN17" s="27">
        <v>2.7142262551933527E-3</v>
      </c>
      <c r="AO17" s="27">
        <v>0.95477777719497681</v>
      </c>
      <c r="AP17" s="27">
        <v>3.2749848905950785E-3</v>
      </c>
      <c r="AQ17" s="27">
        <v>0.32110282778739929</v>
      </c>
      <c r="AR17" s="27">
        <v>1.9964639097452164E-2</v>
      </c>
      <c r="AS17" s="27">
        <v>0.35036110877990723</v>
      </c>
      <c r="AT17" s="27">
        <v>2.7707090601325035E-2</v>
      </c>
      <c r="AU17" s="6"/>
    </row>
    <row r="18" spans="1:47" x14ac:dyDescent="0.3">
      <c r="A18">
        <v>2017</v>
      </c>
      <c r="C18" s="21">
        <v>0.7253652811050415</v>
      </c>
      <c r="D18" s="21">
        <v>6.1596403829753399E-3</v>
      </c>
      <c r="E18" s="21">
        <v>0.76574146747589111</v>
      </c>
      <c r="F18" s="21">
        <v>6.4886203035712242E-3</v>
      </c>
      <c r="G18" s="21">
        <v>1.0505040884017944</v>
      </c>
      <c r="H18" s="21">
        <v>1.0224016383290291E-2</v>
      </c>
      <c r="I18" s="21">
        <v>0.96579772233963013</v>
      </c>
      <c r="J18" s="21">
        <v>1.1584570165723562E-3</v>
      </c>
      <c r="K18" s="21">
        <v>0.95910102128982544</v>
      </c>
      <c r="L18" s="21">
        <v>1.8630755366757512E-3</v>
      </c>
      <c r="M18" s="21">
        <v>0.28776180744171143</v>
      </c>
      <c r="N18" s="21">
        <v>1.0088279843330383E-2</v>
      </c>
      <c r="O18" s="21">
        <v>0.30438226461410522</v>
      </c>
      <c r="P18" s="21">
        <v>1.4114085584878922E-2</v>
      </c>
      <c r="Q18" s="21"/>
      <c r="R18" s="21">
        <v>0.38257098197937012</v>
      </c>
      <c r="S18" s="21">
        <v>7.8470408916473389E-3</v>
      </c>
      <c r="T18" s="21">
        <v>0.35377362370491028</v>
      </c>
      <c r="U18" s="21">
        <v>4.9303262494504452E-3</v>
      </c>
      <c r="V18" s="21">
        <v>1.1005923748016357</v>
      </c>
      <c r="W18" s="21">
        <v>2.0430535078048706E-2</v>
      </c>
      <c r="X18" s="21">
        <v>0.83609378337860107</v>
      </c>
      <c r="Y18" s="21">
        <v>8.1811323761940002E-3</v>
      </c>
      <c r="Z18" s="21">
        <v>0.79916328191757202</v>
      </c>
      <c r="AA18" s="21">
        <v>1.0565276257693768E-2</v>
      </c>
      <c r="AB18" s="21">
        <v>5.9252228587865829E-2</v>
      </c>
      <c r="AC18" s="21">
        <v>2.2710064426064491E-2</v>
      </c>
      <c r="AD18" s="21">
        <v>3.4437563270330429E-2</v>
      </c>
      <c r="AE18" s="21">
        <v>2.3017365485429764E-2</v>
      </c>
      <c r="AF18" s="21"/>
      <c r="AG18" s="21">
        <v>0.66626232862472534</v>
      </c>
      <c r="AH18" s="21">
        <v>1.2600508518517017E-2</v>
      </c>
      <c r="AI18" s="21">
        <v>0.72790205478668213</v>
      </c>
      <c r="AJ18" s="21">
        <v>1.420966163277626E-2</v>
      </c>
      <c r="AK18" s="21">
        <v>1.0828428268432617</v>
      </c>
      <c r="AL18" s="21">
        <v>1.8234977498650551E-2</v>
      </c>
      <c r="AM18" s="21">
        <v>0.96301651000976563</v>
      </c>
      <c r="AN18" s="21">
        <v>1.8408357864245772E-3</v>
      </c>
      <c r="AO18" s="21">
        <v>0.95953255891799927</v>
      </c>
      <c r="AP18" s="21">
        <v>2.6499009691178799E-3</v>
      </c>
      <c r="AQ18" s="21">
        <v>0.30816495418548584</v>
      </c>
      <c r="AR18" s="21">
        <v>2.6710284873843193E-2</v>
      </c>
      <c r="AS18" s="21">
        <v>0.33623754978179932</v>
      </c>
      <c r="AT18" s="21">
        <v>2.1838707849383354E-2</v>
      </c>
    </row>
    <row r="19" spans="1:47" x14ac:dyDescent="0.3">
      <c r="A19">
        <v>2018</v>
      </c>
      <c r="C19" s="33">
        <v>0.77195793390274048</v>
      </c>
      <c r="D19" s="33">
        <v>7.3832464404404163E-3</v>
      </c>
      <c r="E19" s="33">
        <v>0.81109046936035156</v>
      </c>
      <c r="F19" s="33">
        <v>7.3583675548434258E-3</v>
      </c>
      <c r="G19" s="33">
        <v>1.086082935333252</v>
      </c>
      <c r="H19" s="33">
        <v>8.8188108056783676E-3</v>
      </c>
      <c r="I19" s="33">
        <v>0.96728765964508057</v>
      </c>
      <c r="J19" s="33">
        <v>9.0551644098013639E-4</v>
      </c>
      <c r="K19" s="33">
        <v>0.95808762311935425</v>
      </c>
      <c r="L19" s="33">
        <v>1.3509505661204457E-3</v>
      </c>
      <c r="M19" s="33">
        <v>0.25947633385658264</v>
      </c>
      <c r="N19" s="33">
        <v>1.2457483448088169E-2</v>
      </c>
      <c r="O19" s="33">
        <v>0.28984543681144714</v>
      </c>
      <c r="P19" s="33">
        <v>1.2591240927577019E-2</v>
      </c>
      <c r="Q19" s="33"/>
      <c r="R19" s="33">
        <v>0.451832115650177</v>
      </c>
      <c r="S19" s="33">
        <v>6.1026811599731445E-3</v>
      </c>
      <c r="T19" s="33">
        <v>0.41043809056282043</v>
      </c>
      <c r="U19" s="33">
        <v>6.6681881435215473E-3</v>
      </c>
      <c r="V19" s="33">
        <v>1.1227519512176514</v>
      </c>
      <c r="W19" s="33">
        <v>2.4890897795557976E-2</v>
      </c>
      <c r="X19" s="33">
        <v>0.87484365701675415</v>
      </c>
      <c r="Y19" s="33">
        <v>7.193670142441988E-3</v>
      </c>
      <c r="Z19" s="33">
        <v>0.83053570985794067</v>
      </c>
      <c r="AA19" s="33">
        <v>9.8683424293994904E-3</v>
      </c>
      <c r="AB19" s="33">
        <v>-6.447436660528183E-2</v>
      </c>
      <c r="AC19" s="33">
        <v>1.9830353558063507E-2</v>
      </c>
      <c r="AD19" s="33">
        <v>-7.6378613710403442E-2</v>
      </c>
      <c r="AE19" s="33">
        <v>2.3573059588670731E-2</v>
      </c>
      <c r="AF19" s="33"/>
      <c r="AG19" s="33">
        <v>0.69705015420913696</v>
      </c>
      <c r="AH19" s="33">
        <v>1.5212866477668285E-2</v>
      </c>
      <c r="AI19" s="33">
        <v>0.77219444513320923</v>
      </c>
      <c r="AJ19" s="33">
        <v>1.3963142409920692E-2</v>
      </c>
      <c r="AK19" s="33">
        <v>1.1025282144546509</v>
      </c>
      <c r="AL19" s="33">
        <v>1.786012202501297E-2</v>
      </c>
      <c r="AM19" s="33">
        <v>0.96367967128753662</v>
      </c>
      <c r="AN19" s="33">
        <v>2.6320700999349356E-3</v>
      </c>
      <c r="AO19" s="33">
        <v>0.95626890659332275</v>
      </c>
      <c r="AP19" s="33">
        <v>3.3919098787009716E-3</v>
      </c>
      <c r="AQ19" s="33">
        <v>0.32587125897407532</v>
      </c>
      <c r="AR19" s="33">
        <v>2.5056663900613785E-2</v>
      </c>
      <c r="AS19" s="33">
        <v>0.37453398108482361</v>
      </c>
      <c r="AT19" s="33">
        <v>2.4921193718910217E-2</v>
      </c>
    </row>
    <row r="20" spans="1:47" x14ac:dyDescent="0.3">
      <c r="A20">
        <v>2019</v>
      </c>
      <c r="C20" s="21">
        <v>0.7936173677444458</v>
      </c>
      <c r="D20" s="21">
        <v>6.2719397246837616E-3</v>
      </c>
      <c r="E20" s="21">
        <v>0.82561379671096802</v>
      </c>
      <c r="F20" s="21">
        <v>7.0840702392160892E-3</v>
      </c>
      <c r="G20" s="21">
        <v>1.1200186014175415</v>
      </c>
      <c r="H20" s="21">
        <v>9.5433825626969337E-3</v>
      </c>
      <c r="I20" s="21">
        <v>0.96687841415405273</v>
      </c>
      <c r="J20" s="21">
        <v>1.0454081930220127E-3</v>
      </c>
      <c r="K20" s="21">
        <v>0.95729941129684448</v>
      </c>
      <c r="L20" s="21">
        <v>1.8183820648118854E-3</v>
      </c>
      <c r="M20" s="21">
        <v>0.2605556845664978</v>
      </c>
      <c r="N20" s="21">
        <v>1.460613589733839E-2</v>
      </c>
      <c r="O20" s="21">
        <v>0.28021737933158875</v>
      </c>
      <c r="P20" s="21">
        <v>1.5279049053788185E-2</v>
      </c>
      <c r="Q20" s="21"/>
      <c r="R20" s="21">
        <v>0.44821226596832275</v>
      </c>
      <c r="S20" s="21">
        <v>9.6345487982034683E-3</v>
      </c>
      <c r="T20" s="21">
        <v>0.40961006283760071</v>
      </c>
      <c r="U20" s="21">
        <v>7.1653546765446663E-3</v>
      </c>
      <c r="V20" s="21">
        <v>1.1535625457763672</v>
      </c>
      <c r="W20" s="21">
        <v>2.2169157862663269E-2</v>
      </c>
      <c r="X20" s="21">
        <v>0.87896400690078735</v>
      </c>
      <c r="Y20" s="21">
        <v>8.0442754551768303E-3</v>
      </c>
      <c r="Z20" s="21">
        <v>0.84351068735122681</v>
      </c>
      <c r="AA20" s="21">
        <v>9.8867956548929214E-3</v>
      </c>
      <c r="AB20" s="21">
        <v>-2.0902568474411964E-2</v>
      </c>
      <c r="AC20" s="21">
        <v>2.8371594846248627E-2</v>
      </c>
      <c r="AD20" s="21">
        <v>-4.0011942386627197E-2</v>
      </c>
      <c r="AE20" s="21">
        <v>2.7110958471894264E-2</v>
      </c>
      <c r="AF20" s="21"/>
      <c r="AG20" s="21">
        <v>0.67827290296554565</v>
      </c>
      <c r="AH20" s="21">
        <v>1.7686827108263969E-2</v>
      </c>
      <c r="AI20" s="21">
        <v>0.7216794490814209</v>
      </c>
      <c r="AJ20" s="21">
        <v>1.6723407432436943E-2</v>
      </c>
      <c r="AK20" s="21">
        <v>1.1518368721008301</v>
      </c>
      <c r="AL20" s="21">
        <v>2.7917411178350449E-2</v>
      </c>
      <c r="AM20" s="21">
        <v>0.96321249008178711</v>
      </c>
      <c r="AN20" s="21">
        <v>2.714100293815136E-3</v>
      </c>
      <c r="AO20" s="21">
        <v>0.94969487190246582</v>
      </c>
      <c r="AP20" s="21">
        <v>5.0031952559947968E-3</v>
      </c>
      <c r="AQ20" s="21">
        <v>0.23128451406955719</v>
      </c>
      <c r="AR20" s="21">
        <v>3.8232382386922836E-2</v>
      </c>
      <c r="AS20" s="21">
        <v>0.26743263006210327</v>
      </c>
      <c r="AT20" s="21">
        <v>3.2398190349340439E-2</v>
      </c>
    </row>
    <row r="21" spans="1:47" x14ac:dyDescent="0.3">
      <c r="A21">
        <v>2020</v>
      </c>
      <c r="C21" s="21">
        <v>0.79167711734771729</v>
      </c>
      <c r="D21" s="21">
        <v>9.2254728078842163E-3</v>
      </c>
      <c r="E21" s="21">
        <v>0.83637017011642456</v>
      </c>
      <c r="F21" s="21">
        <v>7.1118921041488647E-3</v>
      </c>
      <c r="G21" s="21">
        <v>1.1237683296203613</v>
      </c>
      <c r="H21" s="21">
        <v>8.6835166439414024E-3</v>
      </c>
      <c r="I21" s="21">
        <v>0.96993756294250488</v>
      </c>
      <c r="J21" s="21">
        <v>9.3382043996825814E-4</v>
      </c>
      <c r="K21" s="21">
        <v>0.96145552396774292</v>
      </c>
      <c r="L21" s="21">
        <v>1.5166187658905983E-3</v>
      </c>
      <c r="M21" s="21">
        <v>0.30754399299621582</v>
      </c>
      <c r="N21" s="21">
        <v>1.1668595485389233E-2</v>
      </c>
      <c r="O21" s="21">
        <v>0.33614823222160339</v>
      </c>
      <c r="P21" s="21">
        <v>1.1602260172367096E-2</v>
      </c>
      <c r="Q21" s="21"/>
      <c r="R21" s="21">
        <v>0.45187434554100037</v>
      </c>
      <c r="S21" s="21">
        <v>9.6076410263776779E-3</v>
      </c>
      <c r="T21" s="21">
        <v>0.41714915633201599</v>
      </c>
      <c r="U21" s="21">
        <v>9.5681296661496162E-3</v>
      </c>
      <c r="V21" s="21">
        <v>1.1656365394592285</v>
      </c>
      <c r="W21" s="21">
        <v>2.49913539737463E-2</v>
      </c>
      <c r="X21" s="21">
        <v>0.89081001281738281</v>
      </c>
      <c r="Y21" s="21">
        <v>7.7563431113958359E-3</v>
      </c>
      <c r="Z21" s="21">
        <v>0.85619539022445679</v>
      </c>
      <c r="AA21" s="21">
        <v>9.9615557119250298E-3</v>
      </c>
      <c r="AB21" s="21">
        <v>-2.4696670472621918E-2</v>
      </c>
      <c r="AC21" s="21">
        <v>3.233705461025238E-2</v>
      </c>
      <c r="AD21" s="21">
        <v>-4.5305624604225159E-2</v>
      </c>
      <c r="AE21" s="21">
        <v>2.6166873052716255E-2</v>
      </c>
      <c r="AF21" s="21"/>
      <c r="AG21" s="21">
        <v>0.71277588605880737</v>
      </c>
      <c r="AH21" s="21">
        <v>1.503919530659914E-2</v>
      </c>
      <c r="AI21" s="21">
        <v>0.75302571058273315</v>
      </c>
      <c r="AJ21" s="21">
        <v>1.5723042190074921E-2</v>
      </c>
      <c r="AK21" s="21">
        <v>1.1600813865661621</v>
      </c>
      <c r="AL21" s="21">
        <v>2.6091242209076881E-2</v>
      </c>
      <c r="AM21" s="21">
        <v>0.96567505598068237</v>
      </c>
      <c r="AN21" s="21">
        <v>3.0409297905862331E-3</v>
      </c>
      <c r="AO21" s="21">
        <v>0.95421749353408813</v>
      </c>
      <c r="AP21" s="21">
        <v>4.6243933029472828E-3</v>
      </c>
      <c r="AQ21" s="21">
        <v>0.23193228244781494</v>
      </c>
      <c r="AR21" s="21">
        <v>3.1694334000349045E-2</v>
      </c>
      <c r="AS21" s="21">
        <v>0.26204687356948853</v>
      </c>
      <c r="AT21" s="21">
        <v>3.4297928214073181E-2</v>
      </c>
    </row>
  </sheetData>
  <mergeCells count="21">
    <mergeCell ref="I2:L2"/>
    <mergeCell ref="M2:P2"/>
    <mergeCell ref="X2:AA2"/>
    <mergeCell ref="AB2:AE2"/>
    <mergeCell ref="AM2:AP2"/>
    <mergeCell ref="C1:P1"/>
    <mergeCell ref="R1:AE1"/>
    <mergeCell ref="AG1:AT1"/>
    <mergeCell ref="AQ2:AT2"/>
    <mergeCell ref="I3:J3"/>
    <mergeCell ref="K3:L3"/>
    <mergeCell ref="M3:N3"/>
    <mergeCell ref="O3:P3"/>
    <mergeCell ref="X3:Y3"/>
    <mergeCell ref="Z3:AA3"/>
    <mergeCell ref="AB3:AC3"/>
    <mergeCell ref="AD3:AE3"/>
    <mergeCell ref="AM3:AN3"/>
    <mergeCell ref="AO3:AP3"/>
    <mergeCell ref="AQ3:AR3"/>
    <mergeCell ref="AS3:AT3"/>
  </mergeCells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B6FC8-CDF4-486A-890D-203B6EFE317F}">
  <dimension ref="A1:AO39"/>
  <sheetViews>
    <sheetView workbookViewId="0">
      <selection activeCell="F39" sqref="F39"/>
    </sheetView>
  </sheetViews>
  <sheetFormatPr defaultColWidth="8.77734375" defaultRowHeight="14.4" x14ac:dyDescent="0.3"/>
  <sheetData>
    <row r="1" spans="1:41" x14ac:dyDescent="0.3">
      <c r="C1" s="3" t="s">
        <v>55</v>
      </c>
      <c r="F1" s="39" t="s">
        <v>57</v>
      </c>
      <c r="G1" s="39"/>
      <c r="H1" s="39"/>
      <c r="I1" s="39"/>
      <c r="J1" s="39"/>
      <c r="K1" s="39"/>
      <c r="L1" s="39"/>
      <c r="M1" s="39"/>
      <c r="N1" s="39"/>
      <c r="O1" s="39"/>
      <c r="Q1" s="3" t="s">
        <v>63</v>
      </c>
      <c r="S1" s="3" t="s">
        <v>64</v>
      </c>
      <c r="U1" s="3" t="s">
        <v>66</v>
      </c>
      <c r="W1" s="39" t="s">
        <v>69</v>
      </c>
      <c r="X1" s="39"/>
      <c r="Y1" s="39"/>
      <c r="Z1" s="39"/>
      <c r="AA1" s="39"/>
      <c r="AB1" s="39" t="s">
        <v>82</v>
      </c>
      <c r="AC1" s="39"/>
      <c r="AD1" s="39" t="s">
        <v>75</v>
      </c>
      <c r="AE1" s="39"/>
      <c r="AF1" s="39"/>
      <c r="AG1" s="39"/>
      <c r="AH1" s="39"/>
      <c r="AI1" s="39" t="s">
        <v>78</v>
      </c>
      <c r="AJ1" s="39"/>
      <c r="AK1" s="39"/>
      <c r="AL1" s="39"/>
      <c r="AM1" s="39"/>
      <c r="AO1" s="3" t="s">
        <v>12</v>
      </c>
    </row>
    <row r="2" spans="1:41" x14ac:dyDescent="0.3">
      <c r="C2" s="3" t="s">
        <v>56</v>
      </c>
      <c r="F2" s="3" t="s">
        <v>58</v>
      </c>
      <c r="H2" s="3" t="s">
        <v>59</v>
      </c>
      <c r="J2" s="3" t="s">
        <v>60</v>
      </c>
      <c r="L2" s="3" t="s">
        <v>61</v>
      </c>
      <c r="N2" s="3" t="s">
        <v>62</v>
      </c>
      <c r="S2" s="3" t="s">
        <v>65</v>
      </c>
      <c r="W2" s="3" t="s">
        <v>70</v>
      </c>
      <c r="X2" s="3" t="s">
        <v>71</v>
      </c>
      <c r="Y2" s="3" t="s">
        <v>72</v>
      </c>
      <c r="Z2" s="3" t="s">
        <v>73</v>
      </c>
      <c r="AA2" s="3" t="s">
        <v>74</v>
      </c>
      <c r="AB2" s="3" t="s">
        <v>38</v>
      </c>
      <c r="AC2" s="3" t="s">
        <v>37</v>
      </c>
      <c r="AD2" s="3" t="s">
        <v>71</v>
      </c>
      <c r="AE2" s="3" t="s">
        <v>74</v>
      </c>
      <c r="AF2" s="3" t="s">
        <v>76</v>
      </c>
      <c r="AG2" s="3" t="s">
        <v>77</v>
      </c>
      <c r="AH2" s="3" t="s">
        <v>79</v>
      </c>
      <c r="AI2" s="3" t="s">
        <v>67</v>
      </c>
      <c r="AJ2" s="3" t="s">
        <v>68</v>
      </c>
      <c r="AK2" s="3" t="s">
        <v>81</v>
      </c>
      <c r="AL2" s="3" t="s">
        <v>80</v>
      </c>
      <c r="AM2" s="3" t="s">
        <v>43</v>
      </c>
      <c r="AO2" s="3" t="s">
        <v>89</v>
      </c>
    </row>
    <row r="4" spans="1:41" x14ac:dyDescent="0.3">
      <c r="A4">
        <v>2003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O4" s="9"/>
    </row>
    <row r="5" spans="1:41" x14ac:dyDescent="0.3">
      <c r="A5">
        <v>2004</v>
      </c>
      <c r="C5" s="13">
        <v>0.73710888624191284</v>
      </c>
      <c r="D5" s="13">
        <v>3.4378957934677601E-3</v>
      </c>
      <c r="E5" s="14"/>
      <c r="F5" s="13">
        <v>8.8102645874023438</v>
      </c>
      <c r="G5" s="13">
        <v>7.3825806379318237E-2</v>
      </c>
      <c r="H5" s="13">
        <v>3.5</v>
      </c>
      <c r="I5" s="13">
        <v>2.7265965938568115E-2</v>
      </c>
      <c r="J5" s="13">
        <v>6</v>
      </c>
      <c r="K5" s="13">
        <v>0</v>
      </c>
      <c r="L5" s="13">
        <v>10.5</v>
      </c>
      <c r="M5" s="13">
        <v>0.12583062052726746</v>
      </c>
      <c r="N5" s="13">
        <v>0.86966121196746826</v>
      </c>
      <c r="O5" s="13">
        <v>6.8155792541801929E-3</v>
      </c>
      <c r="P5" s="14"/>
      <c r="Q5" s="13">
        <v>0.27590426802635193</v>
      </c>
      <c r="R5" s="14"/>
      <c r="S5" s="13">
        <v>0.98960810899734497</v>
      </c>
      <c r="T5" s="14"/>
      <c r="U5" s="30">
        <v>273.812744140625</v>
      </c>
      <c r="V5" s="18"/>
      <c r="W5" s="13">
        <v>0.17880009114742279</v>
      </c>
      <c r="X5" s="13">
        <v>5.3434509783983231E-2</v>
      </c>
      <c r="Y5" s="13">
        <v>0.78468108177185059</v>
      </c>
      <c r="Z5" s="13">
        <v>0.1435217410326004</v>
      </c>
      <c r="AA5" s="13">
        <v>1.9794125109910965E-2</v>
      </c>
      <c r="AB5" s="13">
        <v>7.8446950912475586</v>
      </c>
      <c r="AC5" s="13">
        <v>3</v>
      </c>
      <c r="AD5" s="13">
        <v>6.9335199892520905E-2</v>
      </c>
      <c r="AE5" s="13">
        <v>3.8603108376264572E-2</v>
      </c>
      <c r="AF5" s="13">
        <v>6.00128173828125E-2</v>
      </c>
      <c r="AG5" s="13">
        <v>5.1708336919546127E-2</v>
      </c>
      <c r="AH5" s="13">
        <v>9.212319552898407E-2</v>
      </c>
      <c r="AI5" s="13">
        <v>0.32167923450469971</v>
      </c>
      <c r="AJ5" s="13">
        <v>0.3293626606464386</v>
      </c>
      <c r="AK5" s="13">
        <v>6.4474418759346008E-2</v>
      </c>
      <c r="AL5" s="13">
        <v>6.1568312346935272E-2</v>
      </c>
      <c r="AM5" s="13">
        <v>7.8205950558185577E-2</v>
      </c>
      <c r="AN5" s="16"/>
      <c r="AO5" s="13">
        <v>-6.5262600779533386E-2</v>
      </c>
    </row>
    <row r="6" spans="1:41" x14ac:dyDescent="0.3">
      <c r="A6">
        <v>2005</v>
      </c>
      <c r="C6" s="10">
        <v>0.73023825883865356</v>
      </c>
      <c r="D6" s="10">
        <v>3.3945424947887659E-3</v>
      </c>
      <c r="E6" s="11"/>
      <c r="F6" s="10">
        <v>8.9181509017944336</v>
      </c>
      <c r="G6" s="10">
        <v>8.784959465265274E-2</v>
      </c>
      <c r="H6" s="10">
        <v>3.5</v>
      </c>
      <c r="I6" s="10">
        <v>4.6056576073169708E-2</v>
      </c>
      <c r="J6" s="10">
        <v>6</v>
      </c>
      <c r="K6" s="10">
        <v>1.9694618880748749E-2</v>
      </c>
      <c r="L6" s="10">
        <v>10.800000190734863</v>
      </c>
      <c r="M6" s="10">
        <v>0.18441483378410339</v>
      </c>
      <c r="N6" s="10">
        <v>0.87536722421646118</v>
      </c>
      <c r="O6" s="10">
        <v>7.8566446900367737E-3</v>
      </c>
      <c r="P6" s="11"/>
      <c r="Q6" s="10">
        <v>0.28496807813644409</v>
      </c>
      <c r="R6" s="11"/>
      <c r="S6" s="10">
        <v>0.98761427402496338</v>
      </c>
      <c r="T6" s="11"/>
      <c r="U6" s="31">
        <v>277.076904296875</v>
      </c>
      <c r="V6" s="16"/>
      <c r="W6" s="10">
        <v>0.17982923984527588</v>
      </c>
      <c r="X6" s="10">
        <v>5.2370786666870117E-2</v>
      </c>
      <c r="Y6" s="10">
        <v>0.78579050302505493</v>
      </c>
      <c r="Z6" s="10">
        <v>0.14894066751003265</v>
      </c>
      <c r="AA6" s="10">
        <v>2.0027991384267807E-2</v>
      </c>
      <c r="AB6" s="10">
        <v>8.1811704635620117</v>
      </c>
      <c r="AC6" s="10">
        <v>3</v>
      </c>
      <c r="AD6" s="10">
        <v>7.0362947881221771E-2</v>
      </c>
      <c r="AE6" s="10">
        <v>4.0120195597410202E-2</v>
      </c>
      <c r="AF6" s="10">
        <v>5.7670898735523224E-2</v>
      </c>
      <c r="AG6" s="10">
        <v>5.4312612861394882E-2</v>
      </c>
      <c r="AH6" s="10">
        <v>9.9594727158546448E-2</v>
      </c>
      <c r="AI6" s="10">
        <v>0.32517462968826294</v>
      </c>
      <c r="AJ6" s="10">
        <v>0.32813560962677002</v>
      </c>
      <c r="AK6" s="10">
        <v>7.8159242868423462E-2</v>
      </c>
      <c r="AL6" s="10">
        <v>7.8053146600723267E-2</v>
      </c>
      <c r="AM6" s="10">
        <v>9.4014696776866913E-2</v>
      </c>
      <c r="AN6" s="16"/>
      <c r="AO6" s="10">
        <v>-5.6404393166303635E-2</v>
      </c>
    </row>
    <row r="7" spans="1:41" x14ac:dyDescent="0.3">
      <c r="A7">
        <v>2006</v>
      </c>
      <c r="C7" s="10">
        <v>0.70916634798049927</v>
      </c>
      <c r="D7" s="10">
        <v>3.4033260308206081E-3</v>
      </c>
      <c r="E7" s="11"/>
      <c r="F7" s="10">
        <v>8.9840965270996094</v>
      </c>
      <c r="G7" s="10">
        <v>9.3635231256484985E-2</v>
      </c>
      <c r="H7" s="10">
        <v>3.5</v>
      </c>
      <c r="I7" s="10">
        <v>4.8783130943775177E-2</v>
      </c>
      <c r="J7" s="10">
        <v>6</v>
      </c>
      <c r="K7" s="10">
        <v>4.7768335789442062E-2</v>
      </c>
      <c r="L7" s="10">
        <v>11</v>
      </c>
      <c r="M7" s="10">
        <v>0.10677079856395721</v>
      </c>
      <c r="N7" s="10">
        <v>0.89023011922836304</v>
      </c>
      <c r="O7" s="10">
        <v>7.5774895958602428E-3</v>
      </c>
      <c r="P7" s="11"/>
      <c r="Q7" s="10">
        <v>0.27274850010871887</v>
      </c>
      <c r="R7" s="11"/>
      <c r="S7" s="10">
        <v>0.98632651567459106</v>
      </c>
      <c r="T7" s="11"/>
      <c r="U7" s="31">
        <v>279.01922607421875</v>
      </c>
      <c r="V7" s="16"/>
      <c r="W7" s="10">
        <v>0.18860769271850586</v>
      </c>
      <c r="X7" s="10">
        <v>5.7456105947494507E-2</v>
      </c>
      <c r="Y7" s="10">
        <v>0.77231884002685547</v>
      </c>
      <c r="Z7" s="10">
        <v>0.16680699586868286</v>
      </c>
      <c r="AA7" s="10">
        <v>2.0892130210995674E-2</v>
      </c>
      <c r="AB7" s="10">
        <v>8.954798698425293</v>
      </c>
      <c r="AC7" s="10">
        <v>3</v>
      </c>
      <c r="AD7" s="10">
        <v>8.0673448741436005E-2</v>
      </c>
      <c r="AE7" s="10">
        <v>4.7818388789892197E-2</v>
      </c>
      <c r="AF7" s="10">
        <v>5.8517478406429291E-2</v>
      </c>
      <c r="AG7" s="10">
        <v>5.5319603532552719E-2</v>
      </c>
      <c r="AH7" s="10">
        <v>0.11617076396942139</v>
      </c>
      <c r="AI7" s="10">
        <v>0.31990516185760498</v>
      </c>
      <c r="AJ7" s="10">
        <v>0.324098140001297</v>
      </c>
      <c r="AK7" s="10">
        <v>7.519802451133728E-2</v>
      </c>
      <c r="AL7" s="10">
        <v>7.1422897279262543E-2</v>
      </c>
      <c r="AM7" s="10">
        <v>8.8426575064659119E-2</v>
      </c>
      <c r="AN7" s="16"/>
      <c r="AO7" s="10">
        <v>-6.0002032667398453E-2</v>
      </c>
    </row>
    <row r="8" spans="1:41" x14ac:dyDescent="0.3">
      <c r="A8">
        <v>2007</v>
      </c>
      <c r="C8" s="10">
        <v>0.67680609226226807</v>
      </c>
      <c r="D8" s="10">
        <v>3.8256167899817228E-3</v>
      </c>
      <c r="E8" s="11"/>
      <c r="F8" s="10">
        <v>9.3473348617553711</v>
      </c>
      <c r="G8" s="10">
        <v>9.434933215379715E-2</v>
      </c>
      <c r="H8" s="10">
        <v>3.5</v>
      </c>
      <c r="I8" s="10">
        <v>4.5126043260097504E-2</v>
      </c>
      <c r="J8" s="10">
        <v>6</v>
      </c>
      <c r="K8" s="10">
        <v>7.7034667134284973E-2</v>
      </c>
      <c r="L8" s="10">
        <v>11.399999618530273</v>
      </c>
      <c r="M8" s="10">
        <v>0.18748736381530762</v>
      </c>
      <c r="N8" s="10">
        <v>0.93675714731216431</v>
      </c>
      <c r="O8" s="10">
        <v>8.4406835958361626E-3</v>
      </c>
      <c r="P8" s="11"/>
      <c r="Q8" s="10">
        <v>0.25430306792259216</v>
      </c>
      <c r="R8" s="11"/>
      <c r="S8" s="10">
        <v>0.98455846309661865</v>
      </c>
      <c r="T8" s="11"/>
      <c r="U8" s="31">
        <v>281.61361694335938</v>
      </c>
      <c r="V8" s="16"/>
      <c r="W8" s="10">
        <v>0.203104168176651</v>
      </c>
      <c r="X8" s="10">
        <v>5.3704056888818741E-2</v>
      </c>
      <c r="Y8" s="10">
        <v>0.76061701774597168</v>
      </c>
      <c r="Z8" s="10">
        <v>0.24547652900218964</v>
      </c>
      <c r="AA8" s="10">
        <v>2.1112076938152313E-2</v>
      </c>
      <c r="AB8" s="10">
        <v>12.689732551574707</v>
      </c>
      <c r="AC8" s="10">
        <v>3.5999999046325684</v>
      </c>
      <c r="AD8" s="10">
        <v>8.1136815249919891E-2</v>
      </c>
      <c r="AE8" s="10">
        <v>9.1304585337638855E-2</v>
      </c>
      <c r="AF8" s="10">
        <v>6.74099400639534E-2</v>
      </c>
      <c r="AG8" s="10">
        <v>6.8722404539585114E-2</v>
      </c>
      <c r="AH8" s="10">
        <v>0.1495983749628067</v>
      </c>
      <c r="AI8" s="10">
        <v>0.32628649473190308</v>
      </c>
      <c r="AJ8" s="10">
        <v>0.33116957545280457</v>
      </c>
      <c r="AK8" s="10">
        <v>0.10371226072311401</v>
      </c>
      <c r="AL8" s="10">
        <v>0.10342838615179062</v>
      </c>
      <c r="AM8" s="10">
        <v>0.12265785783529282</v>
      </c>
      <c r="AN8" s="16"/>
      <c r="AO8" s="10">
        <v>-2.4300742894411087E-2</v>
      </c>
    </row>
    <row r="9" spans="1:41" x14ac:dyDescent="0.3">
      <c r="A9">
        <v>2008</v>
      </c>
      <c r="C9" s="10">
        <v>0.66505557298660278</v>
      </c>
      <c r="D9" s="10">
        <v>3.8336673751473427E-3</v>
      </c>
      <c r="E9" s="11"/>
      <c r="F9" s="10">
        <v>9.4049177169799805</v>
      </c>
      <c r="G9" s="10">
        <v>0.10067498683929443</v>
      </c>
      <c r="H9" s="10">
        <v>3.4000000953674316</v>
      </c>
      <c r="I9" s="10">
        <v>7.046741247177124E-2</v>
      </c>
      <c r="J9" s="10">
        <v>6</v>
      </c>
      <c r="K9" s="10">
        <v>9.9999904632568359E-3</v>
      </c>
      <c r="L9" s="10">
        <v>11.399999618530273</v>
      </c>
      <c r="M9" s="10">
        <v>0.18848404288291931</v>
      </c>
      <c r="N9" s="10">
        <v>0.94400238990783691</v>
      </c>
      <c r="O9" s="10">
        <v>7.8451847657561302E-3</v>
      </c>
      <c r="P9" s="11"/>
      <c r="Q9" s="10">
        <v>0.25188475847244263</v>
      </c>
      <c r="R9" s="11"/>
      <c r="S9" s="10">
        <v>0.98464018106460571</v>
      </c>
      <c r="T9" s="11"/>
      <c r="U9" s="31">
        <v>278.74371337890625</v>
      </c>
      <c r="V9" s="16"/>
      <c r="W9" s="10">
        <v>0.20405851304531097</v>
      </c>
      <c r="X9" s="10">
        <v>6.4369983971118927E-2</v>
      </c>
      <c r="Y9" s="10">
        <v>0.75205284357070923</v>
      </c>
      <c r="Z9" s="10">
        <v>0.1869225800037384</v>
      </c>
      <c r="AA9" s="10">
        <v>2.4854470044374466E-2</v>
      </c>
      <c r="AB9" s="10">
        <v>9.6290473937988281</v>
      </c>
      <c r="AC9" s="10">
        <v>3.7000000476837158</v>
      </c>
      <c r="AD9" s="10">
        <v>9.5537006855010986E-2</v>
      </c>
      <c r="AE9" s="10">
        <v>9.0123832225799561E-2</v>
      </c>
      <c r="AF9" s="10">
        <v>7.6705791056156158E-2</v>
      </c>
      <c r="AG9" s="10">
        <v>9.4731800258159637E-2</v>
      </c>
      <c r="AH9" s="10">
        <v>0.16142520308494568</v>
      </c>
      <c r="AI9" s="10">
        <v>0.33929356932640076</v>
      </c>
      <c r="AJ9" s="10">
        <v>0.34660264849662781</v>
      </c>
      <c r="AK9" s="10">
        <v>0.1177668571472168</v>
      </c>
      <c r="AL9" s="10">
        <v>0.11427269876003265</v>
      </c>
      <c r="AM9" s="10">
        <v>0.13434071838855743</v>
      </c>
      <c r="AN9" s="16"/>
      <c r="AO9" s="10">
        <v>-3.9533812552690506E-2</v>
      </c>
    </row>
    <row r="10" spans="1:41" x14ac:dyDescent="0.3">
      <c r="A10">
        <v>2009</v>
      </c>
      <c r="C10" s="10">
        <v>0.63214308023452759</v>
      </c>
      <c r="D10" s="10">
        <v>4.0399795398116112E-3</v>
      </c>
      <c r="E10" s="11"/>
      <c r="F10" s="10">
        <v>9.3272418975830078</v>
      </c>
      <c r="G10" s="10">
        <v>0.11184928566217422</v>
      </c>
      <c r="H10" s="10">
        <v>3.2999999523162842</v>
      </c>
      <c r="I10" s="10">
        <v>6.4970880746841431E-2</v>
      </c>
      <c r="J10" s="10">
        <v>6</v>
      </c>
      <c r="K10" s="10">
        <v>0</v>
      </c>
      <c r="L10" s="10">
        <v>11</v>
      </c>
      <c r="M10" s="10">
        <v>0.14538344740867615</v>
      </c>
      <c r="N10" s="10">
        <v>0.94122588634490967</v>
      </c>
      <c r="O10" s="10">
        <v>7.6636234298348427E-3</v>
      </c>
      <c r="P10" s="11"/>
      <c r="Q10" s="10">
        <v>0.25899040699005127</v>
      </c>
      <c r="R10" s="11"/>
      <c r="S10" s="10">
        <v>0.98516750335693359</v>
      </c>
      <c r="T10" s="11"/>
      <c r="U10" s="31">
        <v>280.981201171875</v>
      </c>
      <c r="V10" s="16"/>
      <c r="W10" s="10">
        <v>0.20016053318977356</v>
      </c>
      <c r="X10" s="10">
        <v>6.0399316251277924E-2</v>
      </c>
      <c r="Y10" s="10">
        <v>0.75569379329681396</v>
      </c>
      <c r="Z10" s="10">
        <v>0.22424733638763428</v>
      </c>
      <c r="AA10" s="10">
        <v>2.046736516058445E-2</v>
      </c>
      <c r="AB10" s="10">
        <v>11.735087394714355</v>
      </c>
      <c r="AC10" s="10">
        <v>3.5999999046325684</v>
      </c>
      <c r="AD10" s="10">
        <v>9.2091076076030731E-2</v>
      </c>
      <c r="AE10" s="10">
        <v>6.0485430061817169E-2</v>
      </c>
      <c r="AF10" s="10">
        <v>5.9110801666975021E-2</v>
      </c>
      <c r="AG10" s="10">
        <v>8.4529414772987366E-2</v>
      </c>
      <c r="AH10" s="10">
        <v>0.19259129464626312</v>
      </c>
      <c r="AI10" s="10">
        <v>0.37550851702690125</v>
      </c>
      <c r="AJ10" s="10">
        <v>0.38431456685066223</v>
      </c>
      <c r="AK10" s="10">
        <v>0.13167098164558411</v>
      </c>
      <c r="AL10" s="10">
        <v>0.12998020648956299</v>
      </c>
      <c r="AM10" s="10">
        <v>0.15173427760601044</v>
      </c>
      <c r="AN10" s="16"/>
      <c r="AO10" s="10">
        <v>-3.2869007438421249E-2</v>
      </c>
    </row>
    <row r="11" spans="1:41" x14ac:dyDescent="0.3">
      <c r="A11">
        <v>2010</v>
      </c>
      <c r="C11" s="10">
        <v>0.6106334924697876</v>
      </c>
      <c r="D11" s="10">
        <v>4.0817838162183762E-3</v>
      </c>
      <c r="E11" s="11"/>
      <c r="F11" s="10">
        <v>9.3143205642700195</v>
      </c>
      <c r="G11" s="10">
        <v>0.10273712128400803</v>
      </c>
      <c r="H11" s="10">
        <v>3.2999999523162842</v>
      </c>
      <c r="I11" s="10">
        <v>7.8746512532234192E-2</v>
      </c>
      <c r="J11" s="10">
        <v>6</v>
      </c>
      <c r="K11" s="10">
        <v>7.3160886764526367E-2</v>
      </c>
      <c r="L11" s="10">
        <v>11.5</v>
      </c>
      <c r="M11" s="10">
        <v>0.25469079613685608</v>
      </c>
      <c r="N11" s="10">
        <v>0.95140838623046875</v>
      </c>
      <c r="O11" s="10">
        <v>7.6123233884572983E-3</v>
      </c>
      <c r="P11" s="11"/>
      <c r="Q11" s="10">
        <v>0.24544183909893036</v>
      </c>
      <c r="R11" s="11"/>
      <c r="S11" s="10">
        <v>0.98185235261917114</v>
      </c>
      <c r="T11" s="11"/>
      <c r="U11" s="31">
        <v>278.73483276367188</v>
      </c>
      <c r="V11" s="16"/>
      <c r="W11" s="10">
        <v>0.19384881854057312</v>
      </c>
      <c r="X11" s="10">
        <v>7.4615553021430969E-2</v>
      </c>
      <c r="Y11" s="10">
        <v>0.74972927570343018</v>
      </c>
      <c r="Z11" s="10">
        <v>0.16270999610424042</v>
      </c>
      <c r="AA11" s="10">
        <v>2.9462492093443871E-2</v>
      </c>
      <c r="AB11" s="10">
        <v>8.6698884963989258</v>
      </c>
      <c r="AC11" s="10">
        <v>3.7999999523162842</v>
      </c>
      <c r="AD11" s="10">
        <v>0.10673191398382187</v>
      </c>
      <c r="AE11" s="10">
        <v>8.260422945022583E-2</v>
      </c>
      <c r="AF11" s="10">
        <v>6.2293346971273422E-2</v>
      </c>
      <c r="AG11" s="10">
        <v>8.3973497152328491E-2</v>
      </c>
      <c r="AH11" s="10">
        <v>0.22369670867919922</v>
      </c>
      <c r="AI11" s="10">
        <v>0.3385339081287384</v>
      </c>
      <c r="AJ11" s="10">
        <v>0.33869189023971558</v>
      </c>
      <c r="AK11" s="10">
        <v>0.10269115120172501</v>
      </c>
      <c r="AL11" s="10">
        <v>0.10290960222482681</v>
      </c>
      <c r="AM11" s="10">
        <v>0.12154509127140045</v>
      </c>
      <c r="AN11" s="16"/>
      <c r="AO11" s="10">
        <v>-2.6985364034771919E-2</v>
      </c>
    </row>
    <row r="12" spans="1:41" x14ac:dyDescent="0.3">
      <c r="A12">
        <v>2011</v>
      </c>
      <c r="C12" s="10">
        <v>0.59750401973724365</v>
      </c>
      <c r="D12" s="10">
        <v>4.3799052946269512E-3</v>
      </c>
      <c r="E12" s="11"/>
      <c r="F12" s="10">
        <v>9.8386449813842773</v>
      </c>
      <c r="G12" s="10">
        <v>0.12121319025754929</v>
      </c>
      <c r="H12" s="10">
        <v>3.2999999523162842</v>
      </c>
      <c r="I12" s="10">
        <v>7.371116429567337E-2</v>
      </c>
      <c r="J12" s="10">
        <v>6.0999999046325684</v>
      </c>
      <c r="K12" s="10">
        <v>0.10405294597148895</v>
      </c>
      <c r="L12" s="10">
        <v>12</v>
      </c>
      <c r="M12" s="10">
        <v>0.16436207294464111</v>
      </c>
      <c r="N12" s="10">
        <v>0.9780726432800293</v>
      </c>
      <c r="O12" s="10">
        <v>9.6785826608538628E-3</v>
      </c>
      <c r="P12" s="11"/>
      <c r="Q12" s="10">
        <v>0.24462367594242096</v>
      </c>
      <c r="R12" s="11"/>
      <c r="S12" s="10">
        <v>0.98057496547698975</v>
      </c>
      <c r="T12" s="11"/>
      <c r="U12" s="31">
        <v>278.9669189453125</v>
      </c>
      <c r="V12" s="16"/>
      <c r="W12" s="10">
        <v>0.1967327892780304</v>
      </c>
      <c r="X12" s="10">
        <v>7.2928823530673981E-2</v>
      </c>
      <c r="Y12" s="10">
        <v>0.74795800447463989</v>
      </c>
      <c r="Z12" s="10">
        <v>0.1838880330324173</v>
      </c>
      <c r="AA12" s="10">
        <v>2.7706006541848183E-2</v>
      </c>
      <c r="AB12" s="10">
        <v>10.200533866882324</v>
      </c>
      <c r="AC12" s="10">
        <v>4</v>
      </c>
      <c r="AD12" s="10">
        <v>0.10967022180557251</v>
      </c>
      <c r="AE12" s="10">
        <v>7.9360730946063995E-2</v>
      </c>
      <c r="AF12" s="10">
        <v>7.6553024351596832E-2</v>
      </c>
      <c r="AG12" s="10">
        <v>8.1777200102806091E-2</v>
      </c>
      <c r="AH12" s="10">
        <v>0.23026074469089508</v>
      </c>
      <c r="AI12" s="10">
        <v>0.31006127595901489</v>
      </c>
      <c r="AJ12" s="10">
        <v>0.32773780822753906</v>
      </c>
      <c r="AK12" s="10">
        <v>0.13849690556526184</v>
      </c>
      <c r="AL12" s="10">
        <v>0.13961584866046906</v>
      </c>
      <c r="AM12" s="10">
        <v>0.15755049884319305</v>
      </c>
      <c r="AN12" s="16"/>
      <c r="AO12" s="10">
        <v>-9.0748816728591919E-3</v>
      </c>
    </row>
    <row r="13" spans="1:41" x14ac:dyDescent="0.3">
      <c r="A13">
        <v>2012</v>
      </c>
      <c r="C13" s="10">
        <v>0.58570820093154907</v>
      </c>
      <c r="D13" s="10">
        <v>3.8853113073855639E-3</v>
      </c>
      <c r="E13" s="11"/>
      <c r="F13" s="10">
        <v>10.463379859924316</v>
      </c>
      <c r="G13" s="10">
        <v>0.14767466485500336</v>
      </c>
      <c r="H13" s="10">
        <v>3.2999999523162842</v>
      </c>
      <c r="I13" s="10">
        <v>7.7746033668518066E-2</v>
      </c>
      <c r="J13" s="10">
        <v>6.3000001907348633</v>
      </c>
      <c r="K13" s="10">
        <v>0.10740749537944794</v>
      </c>
      <c r="L13" s="10">
        <v>12.300000190734863</v>
      </c>
      <c r="M13" s="10">
        <v>0.24766126275062561</v>
      </c>
      <c r="N13" s="10">
        <v>1.0019974708557129</v>
      </c>
      <c r="O13" s="10">
        <v>8.4206433966755867E-3</v>
      </c>
      <c r="P13" s="11"/>
      <c r="Q13" s="10">
        <v>0.24192111194133759</v>
      </c>
      <c r="R13" s="11"/>
      <c r="S13" s="10">
        <v>0.98239356279373169</v>
      </c>
      <c r="T13" s="11"/>
      <c r="U13" s="31">
        <v>279.02902221679688</v>
      </c>
      <c r="V13" s="16"/>
      <c r="W13" s="10">
        <v>0.19692568480968475</v>
      </c>
      <c r="X13" s="10">
        <v>8.6540788412094116E-2</v>
      </c>
      <c r="Y13" s="10">
        <v>0.73977243900299072</v>
      </c>
      <c r="Z13" s="10">
        <v>0.19376957416534424</v>
      </c>
      <c r="AA13" s="10">
        <v>3.48702073097229E-2</v>
      </c>
      <c r="AB13" s="10">
        <v>11.345666885375977</v>
      </c>
      <c r="AC13" s="10">
        <v>4.5</v>
      </c>
      <c r="AD13" s="10">
        <v>0.12172125279903412</v>
      </c>
      <c r="AE13" s="10">
        <v>9.1096699237823486E-2</v>
      </c>
      <c r="AF13" s="10">
        <v>8.3581455051898956E-2</v>
      </c>
      <c r="AG13" s="10">
        <v>0.10614214092493057</v>
      </c>
      <c r="AH13" s="10">
        <v>0.24480181932449341</v>
      </c>
      <c r="AI13" s="10">
        <v>0.35197564959526062</v>
      </c>
      <c r="AJ13" s="10">
        <v>0.3826027512550354</v>
      </c>
      <c r="AK13" s="10">
        <v>0.18241533637046814</v>
      </c>
      <c r="AL13" s="10">
        <v>0.1726652979850769</v>
      </c>
      <c r="AM13" s="10">
        <v>0.19406712055206299</v>
      </c>
      <c r="AN13" s="16"/>
      <c r="AO13" s="10">
        <v>-4.2033996433019638E-2</v>
      </c>
    </row>
    <row r="14" spans="1:41" x14ac:dyDescent="0.3">
      <c r="A14">
        <v>2013</v>
      </c>
      <c r="C14" s="10">
        <v>0.55488848686218262</v>
      </c>
      <c r="D14" s="10">
        <v>4.2936336249113083E-3</v>
      </c>
      <c r="E14" s="11"/>
      <c r="F14" s="10">
        <v>10.588644027709961</v>
      </c>
      <c r="G14" s="10">
        <v>0.1563202291727066</v>
      </c>
      <c r="H14" s="10">
        <v>3.2000000476837158</v>
      </c>
      <c r="I14" s="10">
        <v>5.4855175316333771E-2</v>
      </c>
      <c r="J14" s="10">
        <v>6.5</v>
      </c>
      <c r="K14" s="10">
        <v>0.10686532407999039</v>
      </c>
      <c r="L14" s="10">
        <v>12.5</v>
      </c>
      <c r="M14" s="10">
        <v>0.27213844656944275</v>
      </c>
      <c r="N14" s="10">
        <v>1.0388888120651245</v>
      </c>
      <c r="O14" s="10">
        <v>1.0592253878712654E-2</v>
      </c>
      <c r="P14" s="11"/>
      <c r="Q14" s="10">
        <v>0.24506106972694397</v>
      </c>
      <c r="R14" s="11"/>
      <c r="S14" s="10">
        <v>0.98263531923294067</v>
      </c>
      <c r="T14" s="11"/>
      <c r="U14" s="31">
        <v>280.00125122070313</v>
      </c>
      <c r="V14" s="16"/>
      <c r="W14" s="10">
        <v>0.1791602224111557</v>
      </c>
      <c r="X14" s="10">
        <v>8.3848528563976288E-2</v>
      </c>
      <c r="Y14" s="10">
        <v>0.75309121608734131</v>
      </c>
      <c r="Z14" s="10">
        <v>0.18558667600154877</v>
      </c>
      <c r="AA14" s="10">
        <v>3.304893895983696E-2</v>
      </c>
      <c r="AB14" s="10">
        <v>12.040042877197266</v>
      </c>
      <c r="AC14" s="10">
        <v>4.5999999046325684</v>
      </c>
      <c r="AD14" s="10">
        <v>0.11892510205507278</v>
      </c>
      <c r="AE14" s="10">
        <v>9.2048116028308868E-2</v>
      </c>
      <c r="AF14" s="10">
        <v>8.1903941929340363E-2</v>
      </c>
      <c r="AG14" s="10">
        <v>0.12288189679384232</v>
      </c>
      <c r="AH14" s="10">
        <v>0.28800138831138611</v>
      </c>
      <c r="AI14" s="10">
        <v>0.33247777819633484</v>
      </c>
      <c r="AJ14" s="10">
        <v>0.35976004600524902</v>
      </c>
      <c r="AK14" s="10">
        <v>0.1440834254026413</v>
      </c>
      <c r="AL14" s="10">
        <v>0.14122185111045837</v>
      </c>
      <c r="AM14" s="10">
        <v>0.15886327624320984</v>
      </c>
      <c r="AN14" s="16"/>
      <c r="AO14" s="10">
        <v>-8.9134030044078827E-2</v>
      </c>
    </row>
    <row r="15" spans="1:41" x14ac:dyDescent="0.3">
      <c r="A15">
        <v>2014</v>
      </c>
      <c r="C15" s="28">
        <v>0.52314490079879761</v>
      </c>
      <c r="D15" s="28">
        <v>3.9516235701739788E-3</v>
      </c>
      <c r="E15" s="21"/>
      <c r="F15" s="28">
        <v>11.314231872558594</v>
      </c>
      <c r="G15" s="28">
        <v>0.15048429369926453</v>
      </c>
      <c r="H15" s="28">
        <v>3.2999999523162842</v>
      </c>
      <c r="I15" s="28">
        <v>8.0553643405437469E-2</v>
      </c>
      <c r="J15" s="28">
        <v>6.6999998092651367</v>
      </c>
      <c r="K15" s="28">
        <v>0.14640046656131744</v>
      </c>
      <c r="L15" s="28">
        <v>13.5</v>
      </c>
      <c r="M15" s="28">
        <v>0.2803041934967041</v>
      </c>
      <c r="N15" s="28">
        <v>1.0531841516494751</v>
      </c>
      <c r="O15" s="28">
        <v>9.5088295638561249E-3</v>
      </c>
      <c r="P15" s="21"/>
      <c r="Q15" s="28">
        <v>0.24491371214389801</v>
      </c>
      <c r="R15" s="21"/>
      <c r="S15" s="28">
        <v>0.98116147518157959</v>
      </c>
      <c r="T15" s="21"/>
      <c r="U15" s="29">
        <v>277.05224609375</v>
      </c>
      <c r="V15" s="22"/>
      <c r="W15" s="23">
        <v>0.17764268815517426</v>
      </c>
      <c r="X15" s="23">
        <v>8.0941125750541687E-2</v>
      </c>
      <c r="Y15" s="23">
        <v>0.75728923082351685</v>
      </c>
      <c r="Z15" s="23">
        <v>0.19427910447120667</v>
      </c>
      <c r="AA15" s="23">
        <v>3.2904423773288727E-2</v>
      </c>
      <c r="AB15" s="23">
        <v>13.534347534179688</v>
      </c>
      <c r="AC15" s="23">
        <v>5.0999999046325684</v>
      </c>
      <c r="AD15" s="23">
        <v>0.12579505145549774</v>
      </c>
      <c r="AE15" s="23">
        <v>0.1123327910900116</v>
      </c>
      <c r="AF15" s="23">
        <v>8.9929327368736267E-2</v>
      </c>
      <c r="AG15" s="23">
        <v>0.13228943943977356</v>
      </c>
      <c r="AH15" s="23">
        <v>0.30842483043670654</v>
      </c>
      <c r="AI15" s="23">
        <v>0.31889355182647705</v>
      </c>
      <c r="AJ15" s="23">
        <v>0.34634464979171753</v>
      </c>
      <c r="AK15" s="23">
        <v>0.17855606973171234</v>
      </c>
      <c r="AL15" s="23">
        <v>0.18023349344730377</v>
      </c>
      <c r="AM15" s="23">
        <v>0.19738440215587616</v>
      </c>
      <c r="AN15" s="22"/>
      <c r="AO15" s="23">
        <v>-5.2461426705121994E-2</v>
      </c>
    </row>
    <row r="16" spans="1:41" x14ac:dyDescent="0.3">
      <c r="A16">
        <v>2015</v>
      </c>
      <c r="C16" s="28">
        <v>0.50838255882263184</v>
      </c>
      <c r="D16" s="28">
        <v>3.9113410748541355E-3</v>
      </c>
      <c r="E16" s="21"/>
      <c r="F16" s="28">
        <v>11.719208717346191</v>
      </c>
      <c r="G16" s="28">
        <v>0.14964710175991058</v>
      </c>
      <c r="H16" s="28">
        <v>3.2000000476837158</v>
      </c>
      <c r="I16" s="28">
        <v>6.9514930248260498E-2</v>
      </c>
      <c r="J16" s="28">
        <v>6.5</v>
      </c>
      <c r="K16" s="28">
        <v>0.11179321259260178</v>
      </c>
      <c r="L16" s="28">
        <v>13.300000190734863</v>
      </c>
      <c r="M16" s="28">
        <v>0.25455445051193237</v>
      </c>
      <c r="N16" s="28">
        <v>1.0862090587615967</v>
      </c>
      <c r="O16" s="28">
        <v>1.1433449573814869E-2</v>
      </c>
      <c r="P16" s="21"/>
      <c r="Q16" s="28">
        <v>0.22796577215194702</v>
      </c>
      <c r="R16" s="21"/>
      <c r="S16" s="28">
        <v>0.98158878087997437</v>
      </c>
      <c r="T16" s="21"/>
      <c r="U16" s="29">
        <v>274.45327758789063</v>
      </c>
      <c r="V16" s="22"/>
      <c r="W16" s="23">
        <v>0.17900355160236359</v>
      </c>
      <c r="X16" s="23">
        <v>8.6239621043205261E-2</v>
      </c>
      <c r="Y16" s="23">
        <v>0.7505338191986084</v>
      </c>
      <c r="Z16" s="23">
        <v>0.24310842156410217</v>
      </c>
      <c r="AA16" s="23">
        <v>2.9182121157646179E-2</v>
      </c>
      <c r="AB16" s="23">
        <v>18.106229782104492</v>
      </c>
      <c r="AC16" s="23">
        <v>5.4000000953674316</v>
      </c>
      <c r="AD16" s="23">
        <v>0.14202146232128143</v>
      </c>
      <c r="AE16" s="23">
        <v>0.1118934229016304</v>
      </c>
      <c r="AF16" s="23">
        <v>9.8540589213371277E-2</v>
      </c>
      <c r="AG16" s="23">
        <v>0.21471855044364929</v>
      </c>
      <c r="AH16" s="23">
        <v>0.30885306000709534</v>
      </c>
      <c r="AI16" s="23">
        <v>0.33574801683425903</v>
      </c>
      <c r="AJ16" s="23">
        <v>0.35655292868614197</v>
      </c>
      <c r="AK16" s="23">
        <v>0.17419153451919556</v>
      </c>
      <c r="AL16" s="23">
        <v>0.18042102456092834</v>
      </c>
      <c r="AM16" s="23">
        <v>0.1970306783914566</v>
      </c>
      <c r="AN16" s="22"/>
      <c r="AO16" s="23">
        <v>-6.5507031977176666E-2</v>
      </c>
    </row>
    <row r="17" spans="1:41" x14ac:dyDescent="0.3">
      <c r="A17">
        <v>2016</v>
      </c>
      <c r="C17" s="28">
        <v>0.4845946729183197</v>
      </c>
      <c r="D17" s="28">
        <v>3.415518905967474E-3</v>
      </c>
      <c r="E17" s="21"/>
      <c r="F17" s="28">
        <v>11.800765991210938</v>
      </c>
      <c r="G17" s="28">
        <v>0.18744336068630219</v>
      </c>
      <c r="H17" s="28">
        <v>3</v>
      </c>
      <c r="I17" s="28">
        <v>3.5618610680103302E-2</v>
      </c>
      <c r="J17" s="28">
        <v>6.5</v>
      </c>
      <c r="K17" s="28">
        <v>0.14790110290050507</v>
      </c>
      <c r="L17" s="28">
        <v>13.199999809265137</v>
      </c>
      <c r="M17" s="28">
        <v>0.30889955163002014</v>
      </c>
      <c r="N17" s="28">
        <v>1.0954346656799316</v>
      </c>
      <c r="O17" s="28">
        <v>1.0134276002645493E-2</v>
      </c>
      <c r="P17" s="21"/>
      <c r="Q17" s="28">
        <v>0.23275919258594513</v>
      </c>
      <c r="R17" s="21"/>
      <c r="S17" s="28">
        <v>0.9806525707244873</v>
      </c>
      <c r="T17" s="21"/>
      <c r="U17" s="29">
        <v>274.11056518554688</v>
      </c>
      <c r="V17" s="22"/>
      <c r="W17" s="23">
        <v>0.18703703582286835</v>
      </c>
      <c r="X17" s="23">
        <v>9.7160495817661285E-2</v>
      </c>
      <c r="Y17" s="23">
        <v>0.73320984840393066</v>
      </c>
      <c r="Z17" s="23">
        <v>0.3015342652797699</v>
      </c>
      <c r="AA17" s="23">
        <v>4.8783443868160248E-2</v>
      </c>
      <c r="AB17" s="23">
        <v>22.073993682861328</v>
      </c>
      <c r="AC17" s="23">
        <v>6</v>
      </c>
      <c r="AD17" s="23">
        <v>0.16141191124916077</v>
      </c>
      <c r="AE17" s="23">
        <v>0.15815849602222443</v>
      </c>
      <c r="AF17" s="23">
        <v>9.8055638372898102E-2</v>
      </c>
      <c r="AG17" s="23">
        <v>0.15941087901592255</v>
      </c>
      <c r="AH17" s="23">
        <v>0.35520347952842712</v>
      </c>
      <c r="AI17" s="23">
        <v>0.32843774557113647</v>
      </c>
      <c r="AJ17" s="23">
        <v>0.35582420229911804</v>
      </c>
      <c r="AK17" s="23">
        <v>0.19480928778648376</v>
      </c>
      <c r="AL17" s="23">
        <v>0.19957232475280762</v>
      </c>
      <c r="AM17" s="23">
        <v>0.21782411634922028</v>
      </c>
      <c r="AN17" s="22"/>
      <c r="AO17" s="23">
        <v>-2.6453159749507904E-2</v>
      </c>
    </row>
    <row r="18" spans="1:41" x14ac:dyDescent="0.3">
      <c r="A18">
        <v>2017</v>
      </c>
      <c r="C18" s="23">
        <v>0.45822083950042725</v>
      </c>
      <c r="D18" s="23">
        <v>3.760217921808362E-3</v>
      </c>
      <c r="E18" s="21"/>
      <c r="F18" s="23">
        <v>12.442837715148926</v>
      </c>
      <c r="G18" s="23">
        <v>0.22835639119148254</v>
      </c>
      <c r="H18" s="23">
        <v>3.0999999046325684</v>
      </c>
      <c r="I18" s="23">
        <v>7.4257291853427887E-2</v>
      </c>
      <c r="J18" s="23">
        <v>6.8000001907348633</v>
      </c>
      <c r="K18" s="23">
        <v>0.12916205823421478</v>
      </c>
      <c r="L18" s="23">
        <v>14</v>
      </c>
      <c r="M18" s="23">
        <v>0.32660597562789917</v>
      </c>
      <c r="N18" s="23">
        <v>1.1131181716918945</v>
      </c>
      <c r="O18" s="23">
        <v>1.130765862762928E-2</v>
      </c>
      <c r="P18" s="21"/>
      <c r="Q18" s="23">
        <v>0.23596420884132385</v>
      </c>
      <c r="R18" s="21"/>
      <c r="S18" s="23">
        <v>0.97883075475692749</v>
      </c>
      <c r="T18" s="21"/>
      <c r="U18" s="29">
        <v>273.36676025390625</v>
      </c>
      <c r="V18" s="22"/>
      <c r="W18" s="23">
        <v>0.19456818699836731</v>
      </c>
      <c r="X18" s="23">
        <v>0.10892369598150253</v>
      </c>
      <c r="Y18" s="23">
        <v>0.71317720413208008</v>
      </c>
      <c r="Z18" s="23">
        <v>0.30955609679222107</v>
      </c>
      <c r="AA18" s="23">
        <v>4.3418679386377335E-2</v>
      </c>
      <c r="AB18" s="23">
        <v>22.860931396484375</v>
      </c>
      <c r="AC18" s="23">
        <v>7</v>
      </c>
      <c r="AD18" s="23">
        <v>0.17054060101509094</v>
      </c>
      <c r="AE18" s="23">
        <v>0.17900204658508301</v>
      </c>
      <c r="AF18" s="23">
        <v>0.10456310957670212</v>
      </c>
      <c r="AG18" s="23">
        <v>0.15175837278366089</v>
      </c>
      <c r="AH18" s="23">
        <v>0.39541628956794739</v>
      </c>
      <c r="AI18" s="23">
        <v>0.3321109414100647</v>
      </c>
      <c r="AJ18" s="23">
        <v>0.34800523519515991</v>
      </c>
      <c r="AK18" s="23">
        <v>0.21032027900218964</v>
      </c>
      <c r="AL18" s="23">
        <v>0.21978634595870972</v>
      </c>
      <c r="AM18" s="23">
        <v>0.23856917023658752</v>
      </c>
      <c r="AN18" s="22"/>
      <c r="AO18" s="23">
        <v>-2.272450178861618E-2</v>
      </c>
    </row>
    <row r="19" spans="1:41" x14ac:dyDescent="0.3">
      <c r="A19">
        <v>2018</v>
      </c>
      <c r="C19" s="34">
        <v>0.4238574206829071</v>
      </c>
      <c r="D19" s="34">
        <v>3.0524327885359526E-3</v>
      </c>
      <c r="E19" s="33"/>
      <c r="F19" s="34">
        <v>13.58366584777832</v>
      </c>
      <c r="G19" s="34">
        <v>0.24241572618484497</v>
      </c>
      <c r="H19" s="34">
        <v>3</v>
      </c>
      <c r="I19" s="34">
        <v>5.820547416806221E-2</v>
      </c>
      <c r="J19" s="34">
        <v>6.9000000953674316</v>
      </c>
      <c r="K19" s="34">
        <v>0.14457444846630096</v>
      </c>
      <c r="L19" s="34">
        <v>15</v>
      </c>
      <c r="M19" s="34">
        <v>0.2460162341594696</v>
      </c>
      <c r="N19" s="34">
        <v>1.1482762098312378</v>
      </c>
      <c r="O19" s="34">
        <v>1.2832457199692726E-2</v>
      </c>
      <c r="P19" s="33"/>
      <c r="Q19" s="34">
        <v>0.23962011933326721</v>
      </c>
      <c r="R19" s="33"/>
      <c r="S19" s="34">
        <v>0.98121875524520874</v>
      </c>
      <c r="T19" s="33"/>
      <c r="U19" s="35">
        <v>270.6815185546875</v>
      </c>
      <c r="V19" s="36"/>
      <c r="W19" s="34">
        <v>0.18681630492210388</v>
      </c>
      <c r="X19" s="34">
        <v>0.10768575221300125</v>
      </c>
      <c r="Y19" s="34">
        <v>0.7177155613899231</v>
      </c>
      <c r="Z19" s="34">
        <v>0.317922443151474</v>
      </c>
      <c r="AA19" s="34">
        <v>4.6151578426361084E-2</v>
      </c>
      <c r="AB19" s="34">
        <v>26.965248107910156</v>
      </c>
      <c r="AC19" s="34">
        <v>8</v>
      </c>
      <c r="AD19" s="34">
        <v>0.18444029986858368</v>
      </c>
      <c r="AE19" s="34">
        <v>0.17489118874073029</v>
      </c>
      <c r="AF19" s="34">
        <v>0.11163967102766037</v>
      </c>
      <c r="AG19" s="34">
        <v>0.19904311001300812</v>
      </c>
      <c r="AH19" s="34">
        <v>0.36172866821289063</v>
      </c>
      <c r="AI19" s="34">
        <v>0.35378780961036682</v>
      </c>
      <c r="AJ19" s="34">
        <v>0.39388939738273621</v>
      </c>
      <c r="AK19" s="34">
        <v>0.20552247762680054</v>
      </c>
      <c r="AL19" s="34">
        <v>0.22543944418430328</v>
      </c>
      <c r="AM19" s="34">
        <v>0.24614275991916656</v>
      </c>
      <c r="AN19" s="36"/>
      <c r="AO19" s="34">
        <v>-3.6967864725738764E-3</v>
      </c>
    </row>
    <row r="20" spans="1:41" x14ac:dyDescent="0.3">
      <c r="A20">
        <v>2019</v>
      </c>
      <c r="C20" s="23">
        <v>0.38596943020820618</v>
      </c>
      <c r="D20" s="23">
        <v>4.2561930604279041E-3</v>
      </c>
      <c r="E20" s="21"/>
      <c r="F20" s="23">
        <v>13.705471992492676</v>
      </c>
      <c r="G20" s="23">
        <v>0.26831340789794922</v>
      </c>
      <c r="H20" s="23">
        <v>3</v>
      </c>
      <c r="I20" s="23">
        <v>2.9318854212760925E-2</v>
      </c>
      <c r="J20" s="23">
        <v>6.6999998092651367</v>
      </c>
      <c r="K20" s="23">
        <v>0.19011211395263672</v>
      </c>
      <c r="L20" s="23">
        <v>15</v>
      </c>
      <c r="M20" s="23">
        <v>0.3386722207069397</v>
      </c>
      <c r="N20" s="23">
        <v>1.1789790391921997</v>
      </c>
      <c r="O20" s="23">
        <v>1.249327976256609E-2</v>
      </c>
      <c r="P20" s="21"/>
      <c r="Q20" s="23">
        <v>0.15328510105609894</v>
      </c>
      <c r="R20" s="21"/>
      <c r="S20" s="23">
        <v>0.98239916563034058</v>
      </c>
      <c r="T20" s="21"/>
      <c r="U20" s="29">
        <v>269.7216796875</v>
      </c>
      <c r="V20" s="22"/>
      <c r="W20" s="23">
        <v>0.1660541296005249</v>
      </c>
      <c r="X20" s="23">
        <v>0.1488473117351532</v>
      </c>
      <c r="Y20" s="23">
        <v>0.70096892118453979</v>
      </c>
      <c r="Z20" s="23">
        <v>0.30253702402114868</v>
      </c>
      <c r="AA20" s="23">
        <v>6.5930671989917755E-2</v>
      </c>
      <c r="AB20" s="23">
        <v>28.560361862182617</v>
      </c>
      <c r="AC20" s="23">
        <v>10</v>
      </c>
      <c r="AD20" s="23">
        <v>0.23083370923995972</v>
      </c>
      <c r="AE20" s="23">
        <v>0.24016360938549042</v>
      </c>
      <c r="AF20" s="23">
        <v>0.12612031400203705</v>
      </c>
      <c r="AG20" s="23">
        <v>0.16364064812660217</v>
      </c>
      <c r="AH20" s="23">
        <v>0.39250648021697998</v>
      </c>
      <c r="AI20" s="23">
        <v>0.24639225006103516</v>
      </c>
      <c r="AJ20" s="23">
        <v>0.27276250720024109</v>
      </c>
      <c r="AK20" s="23">
        <v>0.20521426200866699</v>
      </c>
      <c r="AL20" s="23">
        <v>0.23562577366828918</v>
      </c>
      <c r="AM20" s="23">
        <v>0.24709166586399078</v>
      </c>
      <c r="AN20" s="22"/>
      <c r="AO20" s="23">
        <v>5.9195928275585175E-2</v>
      </c>
    </row>
    <row r="21" spans="1:41" x14ac:dyDescent="0.3">
      <c r="A21">
        <v>2020</v>
      </c>
      <c r="C21" s="23">
        <v>0.37617555260658264</v>
      </c>
      <c r="D21" s="23">
        <v>3.9786314591765404E-3</v>
      </c>
      <c r="E21" s="21"/>
      <c r="F21" s="23">
        <v>15.18205738067627</v>
      </c>
      <c r="G21" s="23">
        <v>0.31738051772117615</v>
      </c>
      <c r="H21" s="23">
        <v>3</v>
      </c>
      <c r="I21" s="23">
        <v>5.200943723320961E-2</v>
      </c>
      <c r="J21" s="23">
        <v>7</v>
      </c>
      <c r="K21" s="23">
        <v>0.10393387079238892</v>
      </c>
      <c r="L21" s="23">
        <v>16</v>
      </c>
      <c r="M21" s="23">
        <v>0.29008042812347412</v>
      </c>
      <c r="N21" s="23">
        <v>1.1652141809463501</v>
      </c>
      <c r="O21" s="23">
        <v>1.3571462593972683E-2</v>
      </c>
      <c r="P21" s="21"/>
      <c r="Q21" s="23">
        <v>0.15765796601772308</v>
      </c>
      <c r="R21" s="21"/>
      <c r="S21" s="23">
        <v>0.98259550333023071</v>
      </c>
      <c r="T21" s="21"/>
      <c r="U21" s="29">
        <v>254.14848327636719</v>
      </c>
      <c r="V21" s="22"/>
      <c r="W21" s="23">
        <v>0.16944444179534912</v>
      </c>
      <c r="X21" s="23">
        <v>0.15016339719295502</v>
      </c>
      <c r="Y21" s="23">
        <v>0.69558823108673096</v>
      </c>
      <c r="Z21" s="23">
        <v>0.31998816132545471</v>
      </c>
      <c r="AA21" s="23">
        <v>6.0215551406145096E-2</v>
      </c>
      <c r="AB21" s="23">
        <v>34.077529907226563</v>
      </c>
      <c r="AC21" s="23">
        <v>12</v>
      </c>
      <c r="AD21" s="23">
        <v>0.24598930776119232</v>
      </c>
      <c r="AE21" s="23">
        <v>0.23795737326145172</v>
      </c>
      <c r="AF21" s="23">
        <v>0.1326449066400528</v>
      </c>
      <c r="AG21" s="23">
        <v>0.19728207588195801</v>
      </c>
      <c r="AH21" s="23">
        <v>0.40129980444908142</v>
      </c>
      <c r="AI21" s="23">
        <v>0.25827980041503906</v>
      </c>
      <c r="AJ21" s="23">
        <v>0.28264692425727844</v>
      </c>
      <c r="AK21" s="23">
        <v>0.23134435713291168</v>
      </c>
      <c r="AL21" s="23">
        <v>0.25933653116226196</v>
      </c>
      <c r="AM21" s="23">
        <v>0.27211001515388489</v>
      </c>
      <c r="AN21" s="22"/>
      <c r="AO21" s="23">
        <v>8.1038355827331543E-2</v>
      </c>
    </row>
    <row r="25" spans="1:41" x14ac:dyDescent="0.3">
      <c r="A25">
        <v>2004</v>
      </c>
      <c r="F25" s="5">
        <f>F5*0.066666666</f>
        <v>0.58735096661997988</v>
      </c>
      <c r="AB25" s="5">
        <f t="shared" ref="AB25:AB38" si="0">AB5/F5</f>
        <v>0.89040402968879762</v>
      </c>
    </row>
    <row r="26" spans="1:41" x14ac:dyDescent="0.3">
      <c r="A26">
        <v>2005</v>
      </c>
      <c r="F26">
        <f t="shared" ref="F26:F39" si="1">F6*0.066666666</f>
        <v>0.59454338750752833</v>
      </c>
      <c r="AB26">
        <f t="shared" si="0"/>
        <v>0.91736174389198399</v>
      </c>
    </row>
    <row r="27" spans="1:41" x14ac:dyDescent="0.3">
      <c r="A27">
        <v>2006</v>
      </c>
      <c r="F27">
        <f t="shared" si="1"/>
        <v>0.59893976248390957</v>
      </c>
      <c r="AB27">
        <f t="shared" si="0"/>
        <v>0.99673892320881208</v>
      </c>
    </row>
    <row r="28" spans="1:41" x14ac:dyDescent="0.3">
      <c r="A28">
        <v>2007</v>
      </c>
      <c r="F28">
        <f t="shared" si="1"/>
        <v>0.62315565121880145</v>
      </c>
      <c r="AB28">
        <f t="shared" si="0"/>
        <v>1.3575776132183688</v>
      </c>
    </row>
    <row r="29" spans="1:41" x14ac:dyDescent="0.3">
      <c r="A29">
        <v>2008</v>
      </c>
      <c r="F29">
        <f t="shared" si="1"/>
        <v>0.62699450819538693</v>
      </c>
      <c r="AB29">
        <f t="shared" si="0"/>
        <v>1.0238311151212089</v>
      </c>
    </row>
    <row r="30" spans="1:41" x14ac:dyDescent="0.3">
      <c r="A30">
        <v>2009</v>
      </c>
      <c r="F30">
        <f t="shared" si="1"/>
        <v>0.62181612028737254</v>
      </c>
      <c r="AB30">
        <f t="shared" si="0"/>
        <v>1.258151929967132</v>
      </c>
    </row>
    <row r="31" spans="1:41" x14ac:dyDescent="0.3">
      <c r="A31">
        <v>2010</v>
      </c>
      <c r="F31">
        <f t="shared" si="1"/>
        <v>0.62095469807512094</v>
      </c>
      <c r="AB31">
        <f t="shared" si="0"/>
        <v>0.93081276691902226</v>
      </c>
    </row>
    <row r="32" spans="1:41" x14ac:dyDescent="0.3">
      <c r="A32">
        <v>2011</v>
      </c>
      <c r="F32">
        <f t="shared" si="1"/>
        <v>0.65590965886652186</v>
      </c>
      <c r="AB32">
        <f t="shared" si="0"/>
        <v>1.0367823908864258</v>
      </c>
    </row>
    <row r="33" spans="1:28" x14ac:dyDescent="0.3">
      <c r="A33">
        <v>2012</v>
      </c>
      <c r="F33">
        <f t="shared" si="1"/>
        <v>0.69755865035270115</v>
      </c>
      <c r="AB33">
        <f t="shared" si="0"/>
        <v>1.0843214178652634</v>
      </c>
    </row>
    <row r="34" spans="1:28" x14ac:dyDescent="0.3">
      <c r="A34">
        <v>2013</v>
      </c>
      <c r="F34">
        <f t="shared" si="1"/>
        <v>0.70590959478823467</v>
      </c>
      <c r="AB34">
        <f t="shared" si="0"/>
        <v>1.1370712666975171</v>
      </c>
    </row>
    <row r="35" spans="1:28" x14ac:dyDescent="0.3">
      <c r="A35">
        <v>2014</v>
      </c>
      <c r="F35">
        <f t="shared" si="1"/>
        <v>0.7542821172944183</v>
      </c>
      <c r="AB35">
        <f t="shared" si="0"/>
        <v>1.1962232776054145</v>
      </c>
    </row>
    <row r="36" spans="1:28" x14ac:dyDescent="0.3">
      <c r="A36">
        <v>2015</v>
      </c>
      <c r="F36">
        <f t="shared" si="1"/>
        <v>0.7812805733436069</v>
      </c>
      <c r="AB36">
        <f t="shared" si="0"/>
        <v>1.5450044639365923</v>
      </c>
    </row>
    <row r="37" spans="1:28" x14ac:dyDescent="0.3">
      <c r="A37">
        <v>2016</v>
      </c>
      <c r="F37">
        <f t="shared" si="1"/>
        <v>0.78671772488021852</v>
      </c>
      <c r="AB37">
        <f t="shared" si="0"/>
        <v>1.8705560045256182</v>
      </c>
    </row>
    <row r="38" spans="1:28" x14ac:dyDescent="0.3">
      <c r="A38">
        <v>2017</v>
      </c>
      <c r="F38">
        <f t="shared" si="1"/>
        <v>0.82952250604803657</v>
      </c>
      <c r="AB38" s="5">
        <f t="shared" si="0"/>
        <v>1.837276344820572</v>
      </c>
    </row>
    <row r="39" spans="1:28" x14ac:dyDescent="0.3">
      <c r="A39">
        <v>2018</v>
      </c>
      <c r="F39" s="5">
        <f t="shared" si="1"/>
        <v>0.9055777141294441</v>
      </c>
    </row>
  </sheetData>
  <mergeCells count="5">
    <mergeCell ref="AI1:AM1"/>
    <mergeCell ref="F1:O1"/>
    <mergeCell ref="AD1:AH1"/>
    <mergeCell ref="W1:AA1"/>
    <mergeCell ref="AB1:AC1"/>
  </mergeCells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F20"/>
  <sheetViews>
    <sheetView workbookViewId="0">
      <selection activeCell="D10" sqref="D10"/>
    </sheetView>
  </sheetViews>
  <sheetFormatPr defaultColWidth="8.77734375" defaultRowHeight="14.4" x14ac:dyDescent="0.3"/>
  <sheetData>
    <row r="1" spans="2:6" x14ac:dyDescent="0.3">
      <c r="C1" s="39" t="s">
        <v>44</v>
      </c>
      <c r="D1" s="39"/>
      <c r="E1" s="39"/>
      <c r="F1" s="39"/>
    </row>
    <row r="2" spans="2:6" x14ac:dyDescent="0.3">
      <c r="C2" s="40" t="s">
        <v>45</v>
      </c>
      <c r="D2" s="40"/>
      <c r="E2" s="39" t="s">
        <v>46</v>
      </c>
      <c r="F2" s="39"/>
    </row>
    <row r="3" spans="2:6" x14ac:dyDescent="0.3">
      <c r="C3" s="3" t="s">
        <v>47</v>
      </c>
      <c r="D3" s="3" t="s">
        <v>48</v>
      </c>
      <c r="E3" s="3" t="s">
        <v>47</v>
      </c>
      <c r="F3" s="3" t="s">
        <v>48</v>
      </c>
    </row>
    <row r="4" spans="2:6" x14ac:dyDescent="0.3">
      <c r="B4">
        <v>2004</v>
      </c>
      <c r="C4" s="13">
        <v>0.35817965865135193</v>
      </c>
      <c r="D4" s="13">
        <v>2.7389926835894585E-2</v>
      </c>
      <c r="E4" s="13">
        <v>0.39779561758041382</v>
      </c>
      <c r="F4" s="13">
        <v>2.4688098579645157E-2</v>
      </c>
    </row>
    <row r="5" spans="2:6" x14ac:dyDescent="0.3">
      <c r="B5">
        <v>2005</v>
      </c>
      <c r="C5" s="10">
        <v>0.39844837784767151</v>
      </c>
      <c r="D5" s="10">
        <v>2.4775214493274689E-2</v>
      </c>
      <c r="E5" s="10">
        <v>0.35076308250427246</v>
      </c>
      <c r="F5" s="10">
        <v>2.4403108283877373E-2</v>
      </c>
    </row>
    <row r="6" spans="2:6" x14ac:dyDescent="0.3">
      <c r="B6">
        <v>2006</v>
      </c>
      <c r="C6" s="10">
        <v>0.30586731433868408</v>
      </c>
      <c r="D6" s="10">
        <v>2.7287628501653671E-2</v>
      </c>
      <c r="E6" s="10">
        <v>0.3459133505821228</v>
      </c>
      <c r="F6" s="10">
        <v>2.4602964520454407E-2</v>
      </c>
    </row>
    <row r="7" spans="2:6" x14ac:dyDescent="0.3">
      <c r="B7">
        <v>2007</v>
      </c>
      <c r="C7" s="10">
        <v>0.23619073629379272</v>
      </c>
      <c r="D7" s="10">
        <v>2.6916539296507835E-2</v>
      </c>
      <c r="E7" s="10">
        <v>0.29082033038139343</v>
      </c>
      <c r="F7" s="10">
        <v>2.528168261051178E-2</v>
      </c>
    </row>
    <row r="8" spans="2:6" x14ac:dyDescent="0.3">
      <c r="B8">
        <v>2008</v>
      </c>
      <c r="C8" s="10">
        <v>0.33470678329467773</v>
      </c>
      <c r="D8" s="10">
        <v>2.5879580527544022E-2</v>
      </c>
      <c r="E8" s="10">
        <v>0.32623225450515747</v>
      </c>
      <c r="F8" s="10">
        <v>2.1321602165699005E-2</v>
      </c>
    </row>
    <row r="9" spans="2:6" x14ac:dyDescent="0.3">
      <c r="B9">
        <v>2009</v>
      </c>
      <c r="C9" s="10">
        <v>0.3496585488319397</v>
      </c>
      <c r="D9" s="10">
        <v>2.6036007329821587E-2</v>
      </c>
      <c r="E9" s="10">
        <v>0.31329509615898132</v>
      </c>
      <c r="F9" s="10">
        <v>3.1638950109481812E-2</v>
      </c>
    </row>
    <row r="10" spans="2:6" x14ac:dyDescent="0.3">
      <c r="B10">
        <v>2010</v>
      </c>
      <c r="C10" s="10">
        <v>0.30753079056739807</v>
      </c>
      <c r="D10" s="10">
        <v>2.7805022895336151E-2</v>
      </c>
      <c r="E10" s="10">
        <v>0.34500184655189514</v>
      </c>
      <c r="F10" s="10">
        <v>3.4439776092767715E-2</v>
      </c>
    </row>
    <row r="11" spans="2:6" x14ac:dyDescent="0.3">
      <c r="B11">
        <v>2011</v>
      </c>
      <c r="C11" s="10">
        <v>0.27882227301597595</v>
      </c>
      <c r="D11" s="10">
        <v>3.1848132610321045E-2</v>
      </c>
      <c r="E11" s="10">
        <v>0.27707394957542419</v>
      </c>
      <c r="F11" s="10">
        <v>3.0799338594079018E-2</v>
      </c>
    </row>
    <row r="12" spans="2:6" x14ac:dyDescent="0.3">
      <c r="B12">
        <v>2012</v>
      </c>
      <c r="C12" s="10">
        <v>0.2948586642742157</v>
      </c>
      <c r="D12" s="10">
        <v>3.2671678811311722E-2</v>
      </c>
      <c r="E12" s="10">
        <v>0.33323758840560913</v>
      </c>
      <c r="F12" s="10">
        <v>2.9025522992014885E-2</v>
      </c>
    </row>
    <row r="13" spans="2:6" x14ac:dyDescent="0.3">
      <c r="B13">
        <v>2013</v>
      </c>
      <c r="C13" s="10">
        <v>0.28265184164047241</v>
      </c>
      <c r="D13" s="10">
        <v>3.1000426039099693E-2</v>
      </c>
      <c r="E13" s="10">
        <v>0.27167719602584839</v>
      </c>
      <c r="F13" s="10">
        <v>3.8710314780473709E-2</v>
      </c>
    </row>
    <row r="14" spans="2:6" x14ac:dyDescent="0.3">
      <c r="B14">
        <v>2014</v>
      </c>
      <c r="C14" s="32">
        <v>0.27454045414924622</v>
      </c>
      <c r="D14" s="32">
        <v>3.2318536192178726E-2</v>
      </c>
      <c r="E14" s="32">
        <v>0.23117341101169586</v>
      </c>
      <c r="F14" s="32">
        <v>3.2920017838478088E-2</v>
      </c>
    </row>
    <row r="15" spans="2:6" x14ac:dyDescent="0.3">
      <c r="B15">
        <v>2015</v>
      </c>
      <c r="C15" s="32">
        <v>0.34070968627929688</v>
      </c>
      <c r="D15" s="32">
        <v>2.8711549937725067E-2</v>
      </c>
      <c r="E15" s="32">
        <v>0.2456125020980835</v>
      </c>
      <c r="F15" s="32">
        <v>3.0922463163733482E-2</v>
      </c>
    </row>
    <row r="16" spans="2:6" x14ac:dyDescent="0.3">
      <c r="B16">
        <v>2016</v>
      </c>
      <c r="C16" s="32">
        <v>0.29676359891891479</v>
      </c>
      <c r="D16" s="32">
        <v>2.6770018041133881E-2</v>
      </c>
      <c r="E16" s="32">
        <v>0.40268999338150024</v>
      </c>
      <c r="F16" s="32">
        <v>2.8379654511809349E-2</v>
      </c>
    </row>
    <row r="17" spans="2:6" x14ac:dyDescent="0.3">
      <c r="B17">
        <v>2017</v>
      </c>
      <c r="C17" s="32">
        <v>0.27992048859596252</v>
      </c>
      <c r="D17" s="32">
        <v>3.4178383648395538E-2</v>
      </c>
      <c r="E17" s="32">
        <v>0.3331439197063446</v>
      </c>
      <c r="F17" s="32">
        <v>3.9954517036676407E-2</v>
      </c>
    </row>
    <row r="18" spans="2:6" x14ac:dyDescent="0.3">
      <c r="B18">
        <v>2018</v>
      </c>
      <c r="C18" s="33">
        <v>0.46942555904388428</v>
      </c>
      <c r="D18" s="33">
        <v>3.2838635146617889E-2</v>
      </c>
      <c r="E18" s="33">
        <v>0.53657358884811401</v>
      </c>
      <c r="F18" s="33">
        <v>4.3079528957605362E-2</v>
      </c>
    </row>
    <row r="19" spans="2:6" x14ac:dyDescent="0.3">
      <c r="B19">
        <v>2019</v>
      </c>
      <c r="C19" s="21">
        <v>0.38378956913948059</v>
      </c>
      <c r="D19" s="21">
        <v>4.3124906718730927E-2</v>
      </c>
      <c r="E19" s="21">
        <v>0.43582239747047424</v>
      </c>
      <c r="F19" s="21">
        <v>4.098077118396759E-2</v>
      </c>
    </row>
    <row r="20" spans="2:6" x14ac:dyDescent="0.3">
      <c r="B20">
        <v>2020</v>
      </c>
      <c r="C20" s="21">
        <v>0.27760210633277893</v>
      </c>
      <c r="D20" s="21">
        <v>4.4333793222904205E-2</v>
      </c>
      <c r="E20" s="21">
        <v>0.48863893747329712</v>
      </c>
      <c r="F20" s="21">
        <v>3.9590544998645782E-2</v>
      </c>
    </row>
  </sheetData>
  <mergeCells count="3">
    <mergeCell ref="C1:F1"/>
    <mergeCell ref="E2:F2"/>
    <mergeCell ref="C2:D2"/>
  </mergeCells>
  <pageMargins left="0.7" right="0.7" top="0.75" bottom="0.75" header="0.3" footer="0.3"/>
  <pageSetup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AV21"/>
  <sheetViews>
    <sheetView workbookViewId="0">
      <selection activeCell="Z40" sqref="Z40"/>
    </sheetView>
  </sheetViews>
  <sheetFormatPr defaultRowHeight="14.4" x14ac:dyDescent="0.3"/>
  <sheetData>
    <row r="1" spans="2:48" x14ac:dyDescent="0.3">
      <c r="C1" s="39" t="s">
        <v>91</v>
      </c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R1" s="39" t="s">
        <v>92</v>
      </c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2"/>
      <c r="AG1" s="39" t="s">
        <v>93</v>
      </c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  <c r="AS1" s="38"/>
      <c r="AT1" s="38"/>
      <c r="AV1" s="3" t="s">
        <v>87</v>
      </c>
    </row>
    <row r="2" spans="2:48" x14ac:dyDescent="0.3">
      <c r="C2" t="s">
        <v>39</v>
      </c>
      <c r="E2" t="s">
        <v>40</v>
      </c>
      <c r="G2" t="s">
        <v>49</v>
      </c>
      <c r="I2" s="38" t="s">
        <v>50</v>
      </c>
      <c r="J2" s="38"/>
      <c r="K2" s="38"/>
      <c r="L2" s="38"/>
      <c r="M2" s="38" t="s">
        <v>52</v>
      </c>
      <c r="N2" s="38"/>
      <c r="O2" s="38"/>
      <c r="P2" s="38"/>
      <c r="R2" t="s">
        <v>39</v>
      </c>
      <c r="T2" t="s">
        <v>40</v>
      </c>
      <c r="V2" t="s">
        <v>49</v>
      </c>
      <c r="X2" s="38" t="s">
        <v>50</v>
      </c>
      <c r="Y2" s="38"/>
      <c r="Z2" s="38"/>
      <c r="AA2" s="38"/>
      <c r="AB2" s="38" t="s">
        <v>52</v>
      </c>
      <c r="AC2" s="38"/>
      <c r="AD2" s="38"/>
      <c r="AE2" s="38"/>
      <c r="AF2" s="2"/>
      <c r="AG2" t="s">
        <v>39</v>
      </c>
      <c r="AI2" t="s">
        <v>40</v>
      </c>
      <c r="AK2" t="s">
        <v>49</v>
      </c>
      <c r="AM2" s="38" t="s">
        <v>50</v>
      </c>
      <c r="AN2" s="38"/>
      <c r="AO2" s="38"/>
      <c r="AP2" s="38"/>
      <c r="AQ2" s="38" t="s">
        <v>52</v>
      </c>
      <c r="AR2" s="38"/>
      <c r="AS2" s="38"/>
      <c r="AT2" s="38"/>
      <c r="AV2" s="3" t="s">
        <v>88</v>
      </c>
    </row>
    <row r="3" spans="2:48" x14ac:dyDescent="0.3">
      <c r="I3" s="38" t="s">
        <v>41</v>
      </c>
      <c r="J3" s="38"/>
      <c r="K3" s="38" t="s">
        <v>42</v>
      </c>
      <c r="L3" s="38"/>
      <c r="M3" s="38" t="s">
        <v>41</v>
      </c>
      <c r="N3" s="38"/>
      <c r="O3" s="38" t="s">
        <v>42</v>
      </c>
      <c r="P3" s="38"/>
      <c r="X3" s="38" t="s">
        <v>41</v>
      </c>
      <c r="Y3" s="38"/>
      <c r="Z3" s="38" t="s">
        <v>42</v>
      </c>
      <c r="AA3" s="38"/>
      <c r="AB3" s="38" t="s">
        <v>41</v>
      </c>
      <c r="AC3" s="38"/>
      <c r="AD3" s="38" t="s">
        <v>42</v>
      </c>
      <c r="AE3" s="38"/>
      <c r="AM3" s="38" t="s">
        <v>41</v>
      </c>
      <c r="AN3" s="38"/>
      <c r="AO3" s="38" t="s">
        <v>42</v>
      </c>
      <c r="AP3" s="38"/>
      <c r="AQ3" s="38" t="s">
        <v>41</v>
      </c>
      <c r="AR3" s="38"/>
      <c r="AS3" s="38" t="s">
        <v>42</v>
      </c>
      <c r="AT3" s="38"/>
    </row>
    <row r="4" spans="2:48" s="5" customFormat="1" x14ac:dyDescent="0.3">
      <c r="B4" s="5">
        <v>2004</v>
      </c>
      <c r="C4" s="13">
        <v>0.62202161550521851</v>
      </c>
      <c r="D4" s="13">
        <v>7.1883052587509155E-3</v>
      </c>
      <c r="E4" s="13">
        <v>0.64453822374343872</v>
      </c>
      <c r="F4" s="13">
        <v>6.9134728983044624E-3</v>
      </c>
      <c r="G4" s="13">
        <v>0.82223045825958252</v>
      </c>
      <c r="H4" s="13">
        <v>8.4259435534477234E-3</v>
      </c>
      <c r="I4" s="13">
        <v>0.96982336044311523</v>
      </c>
      <c r="J4" s="13">
        <v>1.0747803607955575E-3</v>
      </c>
      <c r="K4" s="13">
        <v>0.95983606576919556</v>
      </c>
      <c r="L4" s="13">
        <v>1.396375591866672E-3</v>
      </c>
      <c r="M4" s="13">
        <v>0.27090147137641907</v>
      </c>
      <c r="N4" s="13">
        <v>1.4850430190563202E-2</v>
      </c>
      <c r="O4" s="13">
        <v>0.305268794298172</v>
      </c>
      <c r="P4" s="13">
        <v>1.4014401473104954E-2</v>
      </c>
      <c r="Q4" s="14"/>
      <c r="R4" s="13">
        <v>0.28143706917762756</v>
      </c>
      <c r="S4" s="13">
        <v>6.3746944069862366E-3</v>
      </c>
      <c r="T4" s="13">
        <v>0.2757570743560791</v>
      </c>
      <c r="U4" s="13">
        <v>5.8728009462356567E-3</v>
      </c>
      <c r="V4" s="13">
        <v>0.82547694444656372</v>
      </c>
      <c r="W4" s="13">
        <v>1.52125284075737E-2</v>
      </c>
      <c r="X4" s="13">
        <v>0.84477460384368896</v>
      </c>
      <c r="Y4" s="13">
        <v>9.7854370251297951E-3</v>
      </c>
      <c r="Z4" s="13">
        <v>0.80567127466201782</v>
      </c>
      <c r="AA4" s="13">
        <v>1.1209025047719479E-2</v>
      </c>
      <c r="AB4" s="13">
        <v>0.18461692333221436</v>
      </c>
      <c r="AC4" s="13">
        <v>2.878129668533802E-2</v>
      </c>
      <c r="AD4" s="13">
        <v>0.20739218592643738</v>
      </c>
      <c r="AE4" s="13">
        <v>2.9261285439133644E-2</v>
      </c>
      <c r="AF4" s="14"/>
      <c r="AG4" s="13">
        <v>0.63556003570556641</v>
      </c>
      <c r="AH4" s="13">
        <v>1.3513996265828609E-2</v>
      </c>
      <c r="AI4" s="13">
        <v>0.67442286014556885</v>
      </c>
      <c r="AJ4" s="13">
        <v>1.4674670062959194E-2</v>
      </c>
      <c r="AK4" s="13">
        <v>0.87563908100128174</v>
      </c>
      <c r="AL4" s="13">
        <v>1.7700955271720886E-2</v>
      </c>
      <c r="AM4" s="13">
        <v>0.97145825624465942</v>
      </c>
      <c r="AN4" s="13">
        <v>2.0260761957615614E-3</v>
      </c>
      <c r="AO4" s="13">
        <v>0.96790188550949097</v>
      </c>
      <c r="AP4" s="13">
        <v>2.1917561534792185E-3</v>
      </c>
      <c r="AQ4" s="13">
        <v>0.39844405651092529</v>
      </c>
      <c r="AR4" s="13">
        <v>3.0774429440498352E-2</v>
      </c>
      <c r="AS4" s="13">
        <v>0.43157511949539185</v>
      </c>
      <c r="AT4" s="13">
        <v>2.58969496935606E-2</v>
      </c>
      <c r="AU4" s="14"/>
      <c r="AV4" s="13">
        <v>0.78041672706604004</v>
      </c>
    </row>
    <row r="5" spans="2:48" x14ac:dyDescent="0.3">
      <c r="B5">
        <v>2005</v>
      </c>
      <c r="C5" s="10">
        <v>0.61204713582992554</v>
      </c>
      <c r="D5" s="10">
        <v>6.9387340918183327E-3</v>
      </c>
      <c r="E5" s="10">
        <v>0.64072597026824951</v>
      </c>
      <c r="F5" s="10">
        <v>7.2709489613771439E-3</v>
      </c>
      <c r="G5" s="10">
        <v>0.83319211006164551</v>
      </c>
      <c r="H5" s="10">
        <v>7.5288652442395687E-3</v>
      </c>
      <c r="I5" s="10">
        <v>0.96856069564819336</v>
      </c>
      <c r="J5" s="10">
        <v>1.067678676918149E-3</v>
      </c>
      <c r="K5" s="10">
        <v>0.9587472677230835</v>
      </c>
      <c r="L5" s="10">
        <v>1.5850379131734371E-3</v>
      </c>
      <c r="M5" s="10">
        <v>0.28317826986312866</v>
      </c>
      <c r="N5" s="10">
        <v>1.4036150649189949E-2</v>
      </c>
      <c r="O5" s="10">
        <v>0.31425663828849792</v>
      </c>
      <c r="P5" s="10">
        <v>1.2868888676166534E-2</v>
      </c>
      <c r="Q5" s="11"/>
      <c r="R5" s="10">
        <v>0.27197045087814331</v>
      </c>
      <c r="S5" s="10">
        <v>6.2007298693060875E-3</v>
      </c>
      <c r="T5" s="10">
        <v>0.27460974454879761</v>
      </c>
      <c r="U5" s="10">
        <v>5.330259446054697E-3</v>
      </c>
      <c r="V5" s="10">
        <v>0.84543132781982422</v>
      </c>
      <c r="W5" s="10">
        <v>1.6812385991215706E-2</v>
      </c>
      <c r="X5" s="10">
        <v>0.83089470863342285</v>
      </c>
      <c r="Y5" s="10">
        <v>9.2969126999378204E-3</v>
      </c>
      <c r="Z5" s="10">
        <v>0.788521409034729</v>
      </c>
      <c r="AA5" s="10">
        <v>1.2695359997451305E-2</v>
      </c>
      <c r="AB5" s="10">
        <v>0.2145313024520874</v>
      </c>
      <c r="AC5" s="10">
        <v>2.5272535160183907E-2</v>
      </c>
      <c r="AD5" s="10">
        <v>0.24507464468479156</v>
      </c>
      <c r="AE5" s="10">
        <v>2.8884747996926308E-2</v>
      </c>
      <c r="AF5" s="11"/>
      <c r="AG5" s="10">
        <v>0.61236488819122314</v>
      </c>
      <c r="AH5" s="10">
        <v>1.5006750822067261E-2</v>
      </c>
      <c r="AI5" s="10">
        <v>0.66991925239562988</v>
      </c>
      <c r="AJ5" s="10">
        <v>1.4906646683812141E-2</v>
      </c>
      <c r="AK5" s="10">
        <v>0.88820910453796387</v>
      </c>
      <c r="AL5" s="10">
        <v>1.6236795112490654E-2</v>
      </c>
      <c r="AM5" s="10">
        <v>0.96768075227737427</v>
      </c>
      <c r="AN5" s="10">
        <v>2.0054234191775322E-3</v>
      </c>
      <c r="AO5" s="10">
        <v>0.96401995420455933</v>
      </c>
      <c r="AP5" s="10">
        <v>3.4521257039159536E-3</v>
      </c>
      <c r="AQ5" s="10">
        <v>0.405101478099823</v>
      </c>
      <c r="AR5" s="10">
        <v>2.75588259100914E-2</v>
      </c>
      <c r="AS5" s="10">
        <v>0.43043321371078491</v>
      </c>
      <c r="AT5" s="10">
        <v>3.0523970723152161E-2</v>
      </c>
      <c r="AU5" s="11"/>
      <c r="AV5" s="10">
        <v>0.7726941704750061</v>
      </c>
    </row>
    <row r="6" spans="2:48" x14ac:dyDescent="0.3">
      <c r="B6">
        <v>2006</v>
      </c>
      <c r="C6" s="10">
        <v>0.61056578159332275</v>
      </c>
      <c r="D6" s="10">
        <v>6.3625308685004711E-3</v>
      </c>
      <c r="E6" s="10">
        <v>0.64049834012985229</v>
      </c>
      <c r="F6" s="10">
        <v>7.1837198920547962E-3</v>
      </c>
      <c r="G6" s="10">
        <v>0.84373754262924194</v>
      </c>
      <c r="H6" s="10">
        <v>7.3609650135040283E-3</v>
      </c>
      <c r="I6" s="10">
        <v>0.96690523624420166</v>
      </c>
      <c r="J6" s="10">
        <v>1.2830770574510098E-3</v>
      </c>
      <c r="K6" s="10">
        <v>0.95695292949676514</v>
      </c>
      <c r="L6" s="10">
        <v>1.9886808004230261E-3</v>
      </c>
      <c r="M6" s="10">
        <v>0.28205397725105286</v>
      </c>
      <c r="N6" s="10">
        <v>1.5302129089832306E-2</v>
      </c>
      <c r="O6" s="10">
        <v>0.31936794519424438</v>
      </c>
      <c r="P6" s="10">
        <v>1.5552072785794735E-2</v>
      </c>
      <c r="Q6" s="11"/>
      <c r="R6" s="10">
        <v>0.27760761976242065</v>
      </c>
      <c r="S6" s="10">
        <v>5.5589056573808193E-3</v>
      </c>
      <c r="T6" s="10">
        <v>0.2783961296081543</v>
      </c>
      <c r="U6" s="10">
        <v>5.8669326826930046E-3</v>
      </c>
      <c r="V6" s="10">
        <v>0.8464234471321106</v>
      </c>
      <c r="W6" s="10">
        <v>1.6069309785962105E-2</v>
      </c>
      <c r="X6" s="10">
        <v>0.82646328210830688</v>
      </c>
      <c r="Y6" s="10">
        <v>1.1439671739935875E-2</v>
      </c>
      <c r="Z6" s="10">
        <v>0.77812457084655762</v>
      </c>
      <c r="AA6" s="10">
        <v>1.5342629514634609E-2</v>
      </c>
      <c r="AB6" s="10">
        <v>0.19823430478572845</v>
      </c>
      <c r="AC6" s="10">
        <v>2.8791859745979309E-2</v>
      </c>
      <c r="AD6" s="10">
        <v>0.23094722628593445</v>
      </c>
      <c r="AE6" s="10">
        <v>2.6009492576122284E-2</v>
      </c>
      <c r="AF6" s="11"/>
      <c r="AG6" s="10">
        <v>0.61462557315826416</v>
      </c>
      <c r="AH6" s="10">
        <v>1.6054928302764893E-2</v>
      </c>
      <c r="AI6" s="10">
        <v>0.66431361436843872</v>
      </c>
      <c r="AJ6" s="10">
        <v>1.6328511759638786E-2</v>
      </c>
      <c r="AK6" s="10">
        <v>0.88714301586151123</v>
      </c>
      <c r="AL6" s="10">
        <v>1.6509959474205971E-2</v>
      </c>
      <c r="AM6" s="10">
        <v>0.96900594234466553</v>
      </c>
      <c r="AN6" s="10">
        <v>1.8754733027890325E-3</v>
      </c>
      <c r="AO6" s="10">
        <v>0.96618318557739258</v>
      </c>
      <c r="AP6" s="10">
        <v>2.4415662046521902E-3</v>
      </c>
      <c r="AQ6" s="10">
        <v>0.39068406820297241</v>
      </c>
      <c r="AR6" s="10">
        <v>2.9598066583275795E-2</v>
      </c>
      <c r="AS6" s="10">
        <v>0.41605618596076965</v>
      </c>
      <c r="AT6" s="10">
        <v>2.4111483246088028E-2</v>
      </c>
      <c r="AU6" s="11"/>
      <c r="AV6" s="10">
        <v>0.7400553822517395</v>
      </c>
    </row>
    <row r="7" spans="2:48" x14ac:dyDescent="0.3">
      <c r="B7">
        <v>2007</v>
      </c>
      <c r="C7" s="10">
        <v>0.60739970207214355</v>
      </c>
      <c r="D7" s="10">
        <v>7.1829692460596561E-3</v>
      </c>
      <c r="E7" s="10">
        <v>0.64846765995025635</v>
      </c>
      <c r="F7" s="10">
        <v>7.682709489017725E-3</v>
      </c>
      <c r="G7" s="10">
        <v>0.90337938070297241</v>
      </c>
      <c r="H7" s="10">
        <v>8.4480410441756248E-3</v>
      </c>
      <c r="I7" s="10">
        <v>0.96409684419631958</v>
      </c>
      <c r="J7" s="10">
        <v>1.2733949115499854E-3</v>
      </c>
      <c r="K7" s="10">
        <v>0.95374059677124023</v>
      </c>
      <c r="L7" s="10">
        <v>1.9909332040697336E-3</v>
      </c>
      <c r="M7" s="10">
        <v>0.30572524666786194</v>
      </c>
      <c r="N7" s="10">
        <v>1.5421425923705101E-2</v>
      </c>
      <c r="O7" s="10">
        <v>0.33358243107795715</v>
      </c>
      <c r="P7" s="10">
        <v>1.4446447603404522E-2</v>
      </c>
      <c r="Q7" s="11"/>
      <c r="R7" s="10">
        <v>0.27963539958000183</v>
      </c>
      <c r="S7" s="10">
        <v>6.5538124181330204E-3</v>
      </c>
      <c r="T7" s="10">
        <v>0.28346022963523865</v>
      </c>
      <c r="U7" s="10">
        <v>6.6687902435660362E-3</v>
      </c>
      <c r="V7" s="10">
        <v>0.90146112442016602</v>
      </c>
      <c r="W7" s="10">
        <v>1.7539339140057564E-2</v>
      </c>
      <c r="X7" s="10">
        <v>0.83241724967956543</v>
      </c>
      <c r="Y7" s="10">
        <v>1.2244190089404583E-2</v>
      </c>
      <c r="Z7" s="10">
        <v>0.79119747877120972</v>
      </c>
      <c r="AA7" s="10">
        <v>1.3191312551498413E-2</v>
      </c>
      <c r="AB7" s="10">
        <v>0.182586669921875</v>
      </c>
      <c r="AC7" s="10">
        <v>3.1812209635972977E-2</v>
      </c>
      <c r="AD7" s="10">
        <v>0.22792747616767883</v>
      </c>
      <c r="AE7" s="10">
        <v>3.2000705599784851E-2</v>
      </c>
      <c r="AF7" s="11"/>
      <c r="AG7" s="10">
        <v>0.60118192434310913</v>
      </c>
      <c r="AH7" s="10">
        <v>1.3270067982375622E-2</v>
      </c>
      <c r="AI7" s="10">
        <v>0.6673693060874939</v>
      </c>
      <c r="AJ7" s="10">
        <v>1.574922539293766E-2</v>
      </c>
      <c r="AK7" s="10">
        <v>0.93054723739624023</v>
      </c>
      <c r="AL7" s="10">
        <v>1.7728539183735847E-2</v>
      </c>
      <c r="AM7" s="10">
        <v>0.96508288383483887</v>
      </c>
      <c r="AN7" s="10">
        <v>2.6749323587864637E-3</v>
      </c>
      <c r="AO7" s="10">
        <v>0.96194320917129517</v>
      </c>
      <c r="AP7" s="10">
        <v>3.593463683500886E-3</v>
      </c>
      <c r="AQ7" s="10">
        <v>0.41072368621826172</v>
      </c>
      <c r="AR7" s="10">
        <v>3.4192737191915512E-2</v>
      </c>
      <c r="AS7" s="10">
        <v>0.42757982015609741</v>
      </c>
      <c r="AT7" s="10">
        <v>2.8240814805030823E-2</v>
      </c>
      <c r="AU7" s="11"/>
      <c r="AV7" s="10">
        <v>0.70756226778030396</v>
      </c>
    </row>
    <row r="8" spans="2:48" x14ac:dyDescent="0.3">
      <c r="B8">
        <v>2008</v>
      </c>
      <c r="C8" s="10">
        <v>0.6185305118560791</v>
      </c>
      <c r="D8" s="10">
        <v>7.6613975688815117E-3</v>
      </c>
      <c r="E8" s="10">
        <v>0.64801836013793945</v>
      </c>
      <c r="F8" s="10">
        <v>7.7964370138943195E-3</v>
      </c>
      <c r="G8" s="10">
        <v>0.89361953735351563</v>
      </c>
      <c r="H8" s="10">
        <v>8.0729881301522255E-3</v>
      </c>
      <c r="I8" s="10">
        <v>0.96357107162475586</v>
      </c>
      <c r="J8" s="10">
        <v>1.1638887226581573E-3</v>
      </c>
      <c r="K8" s="10">
        <v>0.95145523548126221</v>
      </c>
      <c r="L8" s="10">
        <v>2.0280024036765099E-3</v>
      </c>
      <c r="M8" s="10">
        <v>0.27904978394508362</v>
      </c>
      <c r="N8" s="10">
        <v>1.6780463978648186E-2</v>
      </c>
      <c r="O8" s="10">
        <v>0.30398803949356079</v>
      </c>
      <c r="P8" s="10">
        <v>1.6904285177588463E-2</v>
      </c>
      <c r="Q8" s="11"/>
      <c r="R8" s="10">
        <v>0.28930598497390747</v>
      </c>
      <c r="S8" s="10">
        <v>6.7193764261901379E-3</v>
      </c>
      <c r="T8" s="10">
        <v>0.28786593675613403</v>
      </c>
      <c r="U8" s="10">
        <v>6.48856395855546E-3</v>
      </c>
      <c r="V8" s="10">
        <v>0.86861246824264526</v>
      </c>
      <c r="W8" s="10">
        <v>1.8494253978133202E-2</v>
      </c>
      <c r="X8" s="10">
        <v>0.83010405302047729</v>
      </c>
      <c r="Y8" s="10">
        <v>1.0971793904900551E-2</v>
      </c>
      <c r="Z8" s="10">
        <v>0.78505367040634155</v>
      </c>
      <c r="AA8" s="10">
        <v>1.4116797596216202E-2</v>
      </c>
      <c r="AB8" s="10">
        <v>0.19386665523052216</v>
      </c>
      <c r="AC8" s="10">
        <v>3.1811736524105072E-2</v>
      </c>
      <c r="AD8" s="10">
        <v>0.22190730273723602</v>
      </c>
      <c r="AE8" s="10">
        <v>3.0386842787265778E-2</v>
      </c>
      <c r="AF8" s="11"/>
      <c r="AG8" s="10">
        <v>0.58383727073669434</v>
      </c>
      <c r="AH8" s="10">
        <v>1.470424048602581E-2</v>
      </c>
      <c r="AI8" s="10">
        <v>0.6441192626953125</v>
      </c>
      <c r="AJ8" s="10">
        <v>1.4718444086611271E-2</v>
      </c>
      <c r="AK8" s="10">
        <v>0.89143675565719604</v>
      </c>
      <c r="AL8" s="10">
        <v>1.8197325989603996E-2</v>
      </c>
      <c r="AM8" s="10">
        <v>0.96471035480499268</v>
      </c>
      <c r="AN8" s="10">
        <v>2.5551163125783205E-3</v>
      </c>
      <c r="AO8" s="10">
        <v>0.96032774448394775</v>
      </c>
      <c r="AP8" s="10">
        <v>3.0319034121930599E-3</v>
      </c>
      <c r="AQ8" s="10">
        <v>0.36481451988220215</v>
      </c>
      <c r="AR8" s="10">
        <v>3.2583191990852356E-2</v>
      </c>
      <c r="AS8" s="10">
        <v>0.40035229921340942</v>
      </c>
      <c r="AT8" s="10">
        <v>3.3821653574705124E-2</v>
      </c>
      <c r="AU8" s="11"/>
      <c r="AV8" s="10">
        <v>0.68905729055404663</v>
      </c>
    </row>
    <row r="9" spans="2:48" x14ac:dyDescent="0.3">
      <c r="B9">
        <v>2009</v>
      </c>
      <c r="C9" s="10">
        <v>0.61772263050079346</v>
      </c>
      <c r="D9" s="10">
        <v>7.7531519345939159E-3</v>
      </c>
      <c r="E9" s="10">
        <v>0.64857715368270874</v>
      </c>
      <c r="F9" s="10">
        <v>7.069761399179697E-3</v>
      </c>
      <c r="G9" s="10">
        <v>0.88753807544708252</v>
      </c>
      <c r="H9" s="10">
        <v>9.8701268434524536E-3</v>
      </c>
      <c r="I9" s="10">
        <v>0.96448850631713867</v>
      </c>
      <c r="J9" s="10">
        <v>1.2737762881442904E-3</v>
      </c>
      <c r="K9" s="10">
        <v>0.9530864953994751</v>
      </c>
      <c r="L9" s="10">
        <v>1.9681942649185658E-3</v>
      </c>
      <c r="M9" s="10">
        <v>0.2854667603969574</v>
      </c>
      <c r="N9" s="10">
        <v>1.474677212536335E-2</v>
      </c>
      <c r="O9" s="10">
        <v>0.30056449770927429</v>
      </c>
      <c r="P9" s="10">
        <v>1.3530652970075607E-2</v>
      </c>
      <c r="Q9" s="11"/>
      <c r="R9" s="10">
        <v>0.29498600959777832</v>
      </c>
      <c r="S9" s="10">
        <v>7.2945882566273212E-3</v>
      </c>
      <c r="T9" s="10">
        <v>0.29395318031311035</v>
      </c>
      <c r="U9" s="10">
        <v>6.7858388647437096E-3</v>
      </c>
      <c r="V9" s="10">
        <v>0.89312440156936646</v>
      </c>
      <c r="W9" s="10">
        <v>2.1293256431818008E-2</v>
      </c>
      <c r="X9" s="10">
        <v>0.8347969651222229</v>
      </c>
      <c r="Y9" s="10">
        <v>1.1090165004134178E-2</v>
      </c>
      <c r="Z9" s="10">
        <v>0.78841006755828857</v>
      </c>
      <c r="AA9" s="10">
        <v>1.4312068000435829E-2</v>
      </c>
      <c r="AB9" s="10">
        <v>0.16369210183620453</v>
      </c>
      <c r="AC9" s="10">
        <v>3.0643615871667862E-2</v>
      </c>
      <c r="AD9" s="10">
        <v>0.19182322919368744</v>
      </c>
      <c r="AE9" s="10">
        <v>3.3638611435890198E-2</v>
      </c>
      <c r="AF9" s="11"/>
      <c r="AG9" s="10">
        <v>0.59439456462860107</v>
      </c>
      <c r="AH9" s="10">
        <v>1.5143855474889278E-2</v>
      </c>
      <c r="AI9" s="10">
        <v>0.64925140142440796</v>
      </c>
      <c r="AJ9" s="10">
        <v>1.6488350927829742E-2</v>
      </c>
      <c r="AK9" s="10">
        <v>0.89405381679534912</v>
      </c>
      <c r="AL9" s="10">
        <v>1.8439933657646179E-2</v>
      </c>
      <c r="AM9" s="10">
        <v>0.96675115823745728</v>
      </c>
      <c r="AN9" s="10">
        <v>2.0362893119454384E-3</v>
      </c>
      <c r="AO9" s="10">
        <v>0.96358221769332886</v>
      </c>
      <c r="AP9" s="10">
        <v>2.8393280226737261E-3</v>
      </c>
      <c r="AQ9" s="10">
        <v>0.40355846285820007</v>
      </c>
      <c r="AR9" s="10">
        <v>2.7756001800298691E-2</v>
      </c>
      <c r="AS9" s="10">
        <v>0.41714799404144287</v>
      </c>
      <c r="AT9" s="10">
        <v>2.8724560514092445E-2</v>
      </c>
      <c r="AU9" s="11"/>
      <c r="AV9" s="10">
        <v>0.65714704990386963</v>
      </c>
    </row>
    <row r="10" spans="2:48" x14ac:dyDescent="0.3">
      <c r="B10">
        <v>2010</v>
      </c>
      <c r="C10" s="10">
        <v>0.62457120418548584</v>
      </c>
      <c r="D10" s="10">
        <v>7.9622026532888412E-3</v>
      </c>
      <c r="E10" s="10">
        <v>0.65116024017333984</v>
      </c>
      <c r="F10" s="10">
        <v>7.3190880939364433E-3</v>
      </c>
      <c r="G10" s="10">
        <v>0.90061300992965698</v>
      </c>
      <c r="H10" s="10">
        <v>9.8757939413189888E-3</v>
      </c>
      <c r="I10" s="10">
        <v>0.96315211057662964</v>
      </c>
      <c r="J10" s="10">
        <v>1.2761130928993225E-3</v>
      </c>
      <c r="K10" s="10">
        <v>0.9503137469291687</v>
      </c>
      <c r="L10" s="10">
        <v>2.254909835755825E-3</v>
      </c>
      <c r="M10" s="10">
        <v>0.26756259799003601</v>
      </c>
      <c r="N10" s="10">
        <v>1.5371344983577728E-2</v>
      </c>
      <c r="O10" s="10">
        <v>0.29047480225563049</v>
      </c>
      <c r="P10" s="10">
        <v>1.4265497215092182E-2</v>
      </c>
      <c r="Q10" s="11"/>
      <c r="R10" s="10">
        <v>0.29911467432975769</v>
      </c>
      <c r="S10" s="10">
        <v>7.0537906140089035E-3</v>
      </c>
      <c r="T10" s="10">
        <v>0.29372915625572205</v>
      </c>
      <c r="U10" s="10">
        <v>6.6364151425659657E-3</v>
      </c>
      <c r="V10" s="10">
        <v>0.88443171977996826</v>
      </c>
      <c r="W10" s="10">
        <v>1.8826805055141449E-2</v>
      </c>
      <c r="X10" s="10">
        <v>0.83944153785705566</v>
      </c>
      <c r="Y10" s="10">
        <v>1.1341581121087074E-2</v>
      </c>
      <c r="Z10" s="10">
        <v>0.80441856384277344</v>
      </c>
      <c r="AA10" s="10">
        <v>1.3153821229934692E-2</v>
      </c>
      <c r="AB10" s="10">
        <v>0.14862079918384552</v>
      </c>
      <c r="AC10" s="10">
        <v>3.2548986375331879E-2</v>
      </c>
      <c r="AD10" s="10">
        <v>0.17048656940460205</v>
      </c>
      <c r="AE10" s="10">
        <v>2.9638122767210007E-2</v>
      </c>
      <c r="AF10" s="11"/>
      <c r="AG10" s="10">
        <v>0.58334779739379883</v>
      </c>
      <c r="AH10" s="10">
        <v>1.4576033689081669E-2</v>
      </c>
      <c r="AI10" s="10">
        <v>0.63804489374160767</v>
      </c>
      <c r="AJ10" s="10">
        <v>1.5540082938969135E-2</v>
      </c>
      <c r="AK10" s="10">
        <v>0.8750755786895752</v>
      </c>
      <c r="AL10" s="10">
        <v>2.1736202761530876E-2</v>
      </c>
      <c r="AM10" s="10">
        <v>0.96483951807022095</v>
      </c>
      <c r="AN10" s="10">
        <v>2.7409207541495562E-3</v>
      </c>
      <c r="AO10" s="10">
        <v>0.95829874277114868</v>
      </c>
      <c r="AP10" s="10">
        <v>3.5318003501743078E-3</v>
      </c>
      <c r="AQ10" s="10">
        <v>0.30201655626296997</v>
      </c>
      <c r="AR10" s="10">
        <v>3.5128463059663773E-2</v>
      </c>
      <c r="AS10" s="10">
        <v>0.33347952365875244</v>
      </c>
      <c r="AT10" s="10">
        <v>3.3330995589494705E-2</v>
      </c>
      <c r="AU10" s="11"/>
      <c r="AV10" s="10">
        <v>0.63266795873641968</v>
      </c>
    </row>
    <row r="11" spans="2:48" x14ac:dyDescent="0.3">
      <c r="B11">
        <v>2011</v>
      </c>
      <c r="C11" s="10">
        <v>0.61873090267181396</v>
      </c>
      <c r="D11" s="10">
        <v>8.173016831278801E-3</v>
      </c>
      <c r="E11" s="10">
        <v>0.64738690853118896</v>
      </c>
      <c r="F11" s="10">
        <v>8.1198150292038918E-3</v>
      </c>
      <c r="G11" s="10">
        <v>0.91889601945877075</v>
      </c>
      <c r="H11" s="10">
        <v>1.0215609334409237E-2</v>
      </c>
      <c r="I11" s="10">
        <v>0.96146929264068604</v>
      </c>
      <c r="J11" s="10">
        <v>1.5373884234577417E-3</v>
      </c>
      <c r="K11" s="10">
        <v>0.94889795780181885</v>
      </c>
      <c r="L11" s="10">
        <v>2.2310630884021521E-3</v>
      </c>
      <c r="M11" s="10">
        <v>0.27796030044555664</v>
      </c>
      <c r="N11" s="10">
        <v>1.7192944884300232E-2</v>
      </c>
      <c r="O11" s="10">
        <v>0.29817068576812744</v>
      </c>
      <c r="P11" s="10">
        <v>1.7272345721721649E-2</v>
      </c>
      <c r="Q11" s="11"/>
      <c r="R11" s="10">
        <v>0.29501736164093018</v>
      </c>
      <c r="S11" s="10">
        <v>6.8173157051205635E-3</v>
      </c>
      <c r="T11" s="10">
        <v>0.28661125898361206</v>
      </c>
      <c r="U11" s="10">
        <v>6.4998180605471134E-3</v>
      </c>
      <c r="V11" s="10">
        <v>0.91296428442001343</v>
      </c>
      <c r="W11" s="10">
        <v>2.0800730213522911E-2</v>
      </c>
      <c r="X11" s="10">
        <v>0.82367795705795288</v>
      </c>
      <c r="Y11" s="10">
        <v>1.3334283605217934E-2</v>
      </c>
      <c r="Z11" s="10">
        <v>0.77620607614517212</v>
      </c>
      <c r="AA11" s="10">
        <v>1.4488846994936466E-2</v>
      </c>
      <c r="AB11" s="10">
        <v>0.13465593755245209</v>
      </c>
      <c r="AC11" s="10">
        <v>3.0318185687065125E-2</v>
      </c>
      <c r="AD11" s="10">
        <v>0.15813349187374115</v>
      </c>
      <c r="AE11" s="10">
        <v>3.2485365867614746E-2</v>
      </c>
      <c r="AF11" s="11"/>
      <c r="AG11" s="10">
        <v>0.54957807064056396</v>
      </c>
      <c r="AH11" s="10">
        <v>1.3934693299233913E-2</v>
      </c>
      <c r="AI11" s="10">
        <v>0.6040768027305603</v>
      </c>
      <c r="AJ11" s="10">
        <v>1.6919389367103577E-2</v>
      </c>
      <c r="AK11" s="10">
        <v>0.91791599988937378</v>
      </c>
      <c r="AL11" s="10">
        <v>2.0768366754055023E-2</v>
      </c>
      <c r="AM11" s="10">
        <v>0.95611292123794556</v>
      </c>
      <c r="AN11" s="10">
        <v>3.0439288821071386E-3</v>
      </c>
      <c r="AO11" s="10">
        <v>0.95001810789108276</v>
      </c>
      <c r="AP11" s="10">
        <v>4.6286275610327721E-3</v>
      </c>
      <c r="AQ11" s="10">
        <v>0.41309759020805359</v>
      </c>
      <c r="AR11" s="10">
        <v>3.2626237720251083E-2</v>
      </c>
      <c r="AS11" s="10">
        <v>0.446613609790802</v>
      </c>
      <c r="AT11" s="10">
        <v>2.9432877898216248E-2</v>
      </c>
      <c r="AU11" s="11"/>
      <c r="AV11" s="10">
        <v>0.60542035102844238</v>
      </c>
    </row>
    <row r="12" spans="2:48" x14ac:dyDescent="0.3">
      <c r="B12">
        <v>2012</v>
      </c>
      <c r="C12" s="10">
        <v>0.62842971086502075</v>
      </c>
      <c r="D12" s="10">
        <v>7.4055246077477932E-3</v>
      </c>
      <c r="E12" s="10">
        <v>0.65665066242218018</v>
      </c>
      <c r="F12" s="10">
        <v>9.6233570948243141E-3</v>
      </c>
      <c r="G12" s="10">
        <v>0.95604658126831055</v>
      </c>
      <c r="H12" s="10">
        <v>1.0544206015765667E-2</v>
      </c>
      <c r="I12" s="10">
        <v>0.95998924970626831</v>
      </c>
      <c r="J12" s="10">
        <v>1.4934793580323458E-3</v>
      </c>
      <c r="K12" s="10">
        <v>0.94643121957778931</v>
      </c>
      <c r="L12" s="10">
        <v>2.0898266229778528E-3</v>
      </c>
      <c r="M12" s="10">
        <v>0.27576375007629395</v>
      </c>
      <c r="N12" s="10">
        <v>1.7425920814275742E-2</v>
      </c>
      <c r="O12" s="10">
        <v>0.302644282579422</v>
      </c>
      <c r="P12" s="10">
        <v>1.4200137928128242E-2</v>
      </c>
      <c r="Q12" s="11"/>
      <c r="R12" s="10">
        <v>0.30026558041572571</v>
      </c>
      <c r="S12" s="10">
        <v>7.6584457419812679E-3</v>
      </c>
      <c r="T12" s="10">
        <v>0.29239857196807861</v>
      </c>
      <c r="U12" s="10">
        <v>7.0003275759518147E-3</v>
      </c>
      <c r="V12" s="10">
        <v>0.92509472370147705</v>
      </c>
      <c r="W12" s="10">
        <v>2.2704878821969032E-2</v>
      </c>
      <c r="X12" s="10">
        <v>0.82270175218582153</v>
      </c>
      <c r="Y12" s="10">
        <v>1.3204117305576801E-2</v>
      </c>
      <c r="Z12" s="10">
        <v>0.77031075954437256</v>
      </c>
      <c r="AA12" s="10">
        <v>1.6707923263311386E-2</v>
      </c>
      <c r="AB12" s="10">
        <v>0.15547272562980652</v>
      </c>
      <c r="AC12" s="10">
        <v>3.8023099303245544E-2</v>
      </c>
      <c r="AD12" s="10">
        <v>0.18224549293518066</v>
      </c>
      <c r="AE12" s="10">
        <v>3.0082281678915024E-2</v>
      </c>
      <c r="AF12" s="11"/>
      <c r="AG12" s="10">
        <v>0.57031482458114624</v>
      </c>
      <c r="AH12" s="10">
        <v>1.6176247969269753E-2</v>
      </c>
      <c r="AI12" s="10">
        <v>0.62122750282287598</v>
      </c>
      <c r="AJ12" s="10">
        <v>1.7826387658715248E-2</v>
      </c>
      <c r="AK12" s="10">
        <v>0.97254365682601929</v>
      </c>
      <c r="AL12" s="10">
        <v>2.0892258733510971E-2</v>
      </c>
      <c r="AM12" s="10">
        <v>0.95896291732788086</v>
      </c>
      <c r="AN12" s="10">
        <v>2.6112603954970837E-3</v>
      </c>
      <c r="AO12" s="10">
        <v>0.95629286766052246</v>
      </c>
      <c r="AP12" s="10">
        <v>4.45586908608675E-3</v>
      </c>
      <c r="AQ12" s="10">
        <v>0.35127344727516174</v>
      </c>
      <c r="AR12" s="10">
        <v>3.5115066915750504E-2</v>
      </c>
      <c r="AS12" s="10">
        <v>0.40337300300598145</v>
      </c>
      <c r="AT12" s="10">
        <v>3.873002901673317E-2</v>
      </c>
      <c r="AU12" s="11"/>
      <c r="AV12" s="10">
        <v>0.57890135049819946</v>
      </c>
    </row>
    <row r="13" spans="2:48" x14ac:dyDescent="0.3">
      <c r="B13">
        <v>2013</v>
      </c>
      <c r="C13" s="10">
        <v>0.63745617866516113</v>
      </c>
      <c r="D13" s="10">
        <v>8.4480708464980125E-3</v>
      </c>
      <c r="E13" s="10">
        <v>0.66138583421707153</v>
      </c>
      <c r="F13" s="10">
        <v>8.8232802227139473E-3</v>
      </c>
      <c r="G13" s="10">
        <v>0.98219531774520874</v>
      </c>
      <c r="H13" s="10">
        <v>1.1427532881498337E-2</v>
      </c>
      <c r="I13" s="10">
        <v>0.95882540941238403</v>
      </c>
      <c r="J13" s="10">
        <v>1.6397489234805107E-3</v>
      </c>
      <c r="K13" s="10">
        <v>0.94308638572692871</v>
      </c>
      <c r="L13" s="10">
        <v>2.8557151090353727E-3</v>
      </c>
      <c r="M13" s="10">
        <v>0.25327417254447937</v>
      </c>
      <c r="N13" s="10">
        <v>1.626884751021862E-2</v>
      </c>
      <c r="O13" s="10">
        <v>0.28168743848800659</v>
      </c>
      <c r="P13" s="10">
        <v>1.8459387123584747E-2</v>
      </c>
      <c r="Q13" s="11"/>
      <c r="R13" s="10">
        <v>0.31806677579879761</v>
      </c>
      <c r="S13" s="10">
        <v>7.8855911269783974E-3</v>
      </c>
      <c r="T13" s="10">
        <v>0.30340263247489929</v>
      </c>
      <c r="U13" s="10">
        <v>7.4509861879050732E-3</v>
      </c>
      <c r="V13" s="10">
        <v>0.97309368848800659</v>
      </c>
      <c r="W13" s="10">
        <v>2.4611828848719597E-2</v>
      </c>
      <c r="X13" s="10">
        <v>0.82230931520462036</v>
      </c>
      <c r="Y13" s="10">
        <v>1.4635578729212284E-2</v>
      </c>
      <c r="Z13" s="10">
        <v>0.76600915193557739</v>
      </c>
      <c r="AA13" s="10">
        <v>1.9376330077648163E-2</v>
      </c>
      <c r="AB13" s="10">
        <v>0.13675130903720856</v>
      </c>
      <c r="AC13" s="10">
        <v>3.576815128326416E-2</v>
      </c>
      <c r="AD13" s="10">
        <v>0.15989977121353149</v>
      </c>
      <c r="AE13" s="10">
        <v>3.4416448324918747E-2</v>
      </c>
      <c r="AF13" s="11"/>
      <c r="AG13" s="10">
        <v>0.57779717445373535</v>
      </c>
      <c r="AH13" s="10">
        <v>1.897534541785717E-2</v>
      </c>
      <c r="AI13" s="10">
        <v>0.638419508934021</v>
      </c>
      <c r="AJ13" s="10">
        <v>1.8554836511611938E-2</v>
      </c>
      <c r="AK13" s="10">
        <v>1.0030351877212524</v>
      </c>
      <c r="AL13" s="10">
        <v>2.0734401419758797E-2</v>
      </c>
      <c r="AM13" s="10">
        <v>0.95873773097991943</v>
      </c>
      <c r="AN13" s="10">
        <v>2.7300843503326178E-3</v>
      </c>
      <c r="AO13" s="10">
        <v>0.95149314403533936</v>
      </c>
      <c r="AP13" s="10">
        <v>4.1538882069289684E-3</v>
      </c>
      <c r="AQ13" s="10">
        <v>0.35626122355461121</v>
      </c>
      <c r="AR13" s="10">
        <v>3.8745399564504623E-2</v>
      </c>
      <c r="AS13" s="10">
        <v>0.40327170491218567</v>
      </c>
      <c r="AT13" s="10">
        <v>3.8292653858661652E-2</v>
      </c>
      <c r="AU13" s="11"/>
      <c r="AV13" s="10">
        <v>0.5391228199005127</v>
      </c>
    </row>
    <row r="14" spans="2:48" x14ac:dyDescent="0.3">
      <c r="B14">
        <v>2014</v>
      </c>
      <c r="C14" s="23">
        <v>0.70047652721405029</v>
      </c>
      <c r="D14" s="23">
        <v>1.0892916470766068E-2</v>
      </c>
      <c r="E14" s="23">
        <v>0.74623966217041016</v>
      </c>
      <c r="F14" s="23">
        <v>1.1665056459605694E-2</v>
      </c>
      <c r="G14" s="23">
        <v>0.95699226856231689</v>
      </c>
      <c r="H14" s="23">
        <v>1.2227302417159081E-2</v>
      </c>
      <c r="I14" s="23">
        <v>0.96669936180114746</v>
      </c>
      <c r="J14" s="23">
        <v>1.7433278262615204E-3</v>
      </c>
      <c r="K14" s="23">
        <v>0.96120953559875488</v>
      </c>
      <c r="L14" s="23">
        <v>2.3049334995448589E-3</v>
      </c>
      <c r="M14" s="23">
        <v>0.2893492579460144</v>
      </c>
      <c r="N14" s="23">
        <v>2.2789429873228073E-2</v>
      </c>
      <c r="O14" s="23">
        <v>0.31936565041542053</v>
      </c>
      <c r="P14" s="23">
        <v>1.7574189230799675E-2</v>
      </c>
      <c r="Q14" s="21"/>
      <c r="R14" s="23">
        <v>0.34954577684402466</v>
      </c>
      <c r="S14" s="23">
        <v>1.0956041514873505E-2</v>
      </c>
      <c r="T14" s="23">
        <v>0.33889240026473999</v>
      </c>
      <c r="U14" s="23">
        <v>8.8495863601565361E-3</v>
      </c>
      <c r="V14" s="23">
        <v>0.97831934690475464</v>
      </c>
      <c r="W14" s="23">
        <v>3.3404022455215454E-2</v>
      </c>
      <c r="X14" s="23">
        <v>0.84046787023544312</v>
      </c>
      <c r="Y14" s="23">
        <v>1.1496014893054962E-2</v>
      </c>
      <c r="Z14" s="23">
        <v>0.82734024524688721</v>
      </c>
      <c r="AA14" s="23">
        <v>1.6153130680322647E-2</v>
      </c>
      <c r="AB14" s="23">
        <v>8.1656835973262787E-2</v>
      </c>
      <c r="AC14" s="23">
        <v>4.6701714396476746E-2</v>
      </c>
      <c r="AD14" s="23">
        <v>6.5148361027240753E-2</v>
      </c>
      <c r="AE14" s="23">
        <v>3.6692596971988678E-2</v>
      </c>
      <c r="AF14" s="21"/>
      <c r="AG14" s="23">
        <v>0.63947618007659912</v>
      </c>
      <c r="AH14" s="23">
        <v>2.1185891702771187E-2</v>
      </c>
      <c r="AI14" s="23">
        <v>0.6943659782409668</v>
      </c>
      <c r="AJ14" s="23">
        <v>2.16064453125E-2</v>
      </c>
      <c r="AK14" s="23">
        <v>0.9222530722618103</v>
      </c>
      <c r="AL14" s="23">
        <v>2.5208592414855957E-2</v>
      </c>
      <c r="AM14" s="23">
        <v>0.96870821714401245</v>
      </c>
      <c r="AN14" s="23">
        <v>3.1895369756966829E-3</v>
      </c>
      <c r="AO14" s="23">
        <v>0.96187096834182739</v>
      </c>
      <c r="AP14" s="23">
        <v>4.8340065404772758E-3</v>
      </c>
      <c r="AQ14" s="23">
        <v>0.29927563667297363</v>
      </c>
      <c r="AR14" s="23">
        <v>5.6095071136951447E-2</v>
      </c>
      <c r="AS14" s="23">
        <v>0.32944226264953613</v>
      </c>
      <c r="AT14" s="23">
        <v>3.6337770521640778E-2</v>
      </c>
      <c r="AU14" s="21"/>
      <c r="AV14" s="23">
        <v>0.49240654706954956</v>
      </c>
    </row>
    <row r="15" spans="2:48" x14ac:dyDescent="0.3">
      <c r="B15">
        <v>2015</v>
      </c>
      <c r="C15" s="23">
        <v>0.6993941068649292</v>
      </c>
      <c r="D15" s="23">
        <v>9.242575615644455E-3</v>
      </c>
      <c r="E15" s="23">
        <v>0.74215781688690186</v>
      </c>
      <c r="F15" s="23">
        <v>1.1893423274159431E-2</v>
      </c>
      <c r="G15" s="23">
        <v>1.0024324655532837</v>
      </c>
      <c r="H15" s="23">
        <v>1.6233256086707115E-2</v>
      </c>
      <c r="I15" s="23">
        <v>0.96539908647537231</v>
      </c>
      <c r="J15" s="23">
        <v>1.6893706051632762E-3</v>
      </c>
      <c r="K15" s="23">
        <v>0.95983922481536865</v>
      </c>
      <c r="L15" s="23">
        <v>2.1583857014775276E-3</v>
      </c>
      <c r="M15" s="23">
        <v>0.29574084281921387</v>
      </c>
      <c r="N15" s="23">
        <v>2.1097183227539063E-2</v>
      </c>
      <c r="O15" s="23">
        <v>0.31851068139076233</v>
      </c>
      <c r="P15" s="23">
        <v>1.8226813524961472E-2</v>
      </c>
      <c r="Q15" s="21"/>
      <c r="R15" s="23">
        <v>0.34329292178153992</v>
      </c>
      <c r="S15" s="23">
        <v>8.1569710746407509E-3</v>
      </c>
      <c r="T15" s="23">
        <v>0.32444313168525696</v>
      </c>
      <c r="U15" s="23">
        <v>9.1774733737111092E-3</v>
      </c>
      <c r="V15" s="23">
        <v>1.0186508893966675</v>
      </c>
      <c r="W15" s="23">
        <v>3.0177919194102287E-2</v>
      </c>
      <c r="X15" s="23">
        <v>0.82690191268920898</v>
      </c>
      <c r="Y15" s="23">
        <v>1.4563028700649738E-2</v>
      </c>
      <c r="Z15" s="23">
        <v>0.83864754438400269</v>
      </c>
      <c r="AA15" s="23">
        <v>1.2518858537077904E-2</v>
      </c>
      <c r="AB15" s="23">
        <v>8.9022718369960785E-2</v>
      </c>
      <c r="AC15" s="23">
        <v>4.6425029635429382E-2</v>
      </c>
      <c r="AD15" s="23">
        <v>5.2481330931186676E-2</v>
      </c>
      <c r="AE15" s="23">
        <v>4.5685678720474243E-2</v>
      </c>
      <c r="AF15" s="21"/>
      <c r="AG15" s="23">
        <v>0.63367205858230591</v>
      </c>
      <c r="AH15" s="23">
        <v>2.1183574572205544E-2</v>
      </c>
      <c r="AI15" s="23">
        <v>0.69666659832000732</v>
      </c>
      <c r="AJ15" s="23">
        <v>2.9555987566709518E-2</v>
      </c>
      <c r="AK15" s="23">
        <v>1.0315659046173096</v>
      </c>
      <c r="AL15" s="23">
        <v>2.7555137872695923E-2</v>
      </c>
      <c r="AM15" s="23">
        <v>0.96615594625473022</v>
      </c>
      <c r="AN15" s="23">
        <v>3.1885600183159113E-3</v>
      </c>
      <c r="AO15" s="23">
        <v>0.95678037405014038</v>
      </c>
      <c r="AP15" s="23">
        <v>5.6091067381203175E-3</v>
      </c>
      <c r="AQ15" s="23">
        <v>0.30824771523475647</v>
      </c>
      <c r="AR15" s="23">
        <v>4.6842038631439209E-2</v>
      </c>
      <c r="AS15" s="23">
        <v>0.33897516131401062</v>
      </c>
      <c r="AT15" s="23">
        <v>4.6444874256849289E-2</v>
      </c>
      <c r="AU15" s="21"/>
      <c r="AV15" s="23">
        <v>0.46553736925125122</v>
      </c>
    </row>
    <row r="16" spans="2:48" x14ac:dyDescent="0.3">
      <c r="B16">
        <v>2016</v>
      </c>
      <c r="C16" s="23">
        <v>0.69890278577804565</v>
      </c>
      <c r="D16" s="23">
        <v>9.7274500876665115E-3</v>
      </c>
      <c r="E16" s="23">
        <v>0.73991096019744873</v>
      </c>
      <c r="F16" s="23">
        <v>1.1845576576888561E-2</v>
      </c>
      <c r="G16" s="23">
        <v>1.0345758199691772</v>
      </c>
      <c r="H16" s="23">
        <v>1.1968478560447693E-2</v>
      </c>
      <c r="I16" s="23">
        <v>0.96241289377212524</v>
      </c>
      <c r="J16" s="23">
        <v>1.940197660587728E-3</v>
      </c>
      <c r="K16" s="23">
        <v>0.95538866519927979</v>
      </c>
      <c r="L16" s="23">
        <v>2.1478808484971523E-3</v>
      </c>
      <c r="M16" s="23">
        <v>0.28867664933204651</v>
      </c>
      <c r="N16" s="23">
        <v>2.462947741150856E-2</v>
      </c>
      <c r="O16" s="23">
        <v>0.30835253000259399</v>
      </c>
      <c r="P16" s="23">
        <v>2.5599543005228043E-2</v>
      </c>
      <c r="Q16" s="21"/>
      <c r="R16" s="23">
        <v>0.36491513252258301</v>
      </c>
      <c r="S16" s="23">
        <v>1.0658927261829376E-2</v>
      </c>
      <c r="T16" s="23">
        <v>0.33766669034957886</v>
      </c>
      <c r="U16" s="23">
        <v>1.0182959027588367E-2</v>
      </c>
      <c r="V16" s="23">
        <v>1.0715798139572144</v>
      </c>
      <c r="W16" s="23">
        <v>3.3936265856027603E-2</v>
      </c>
      <c r="X16" s="23">
        <v>0.82584035396575928</v>
      </c>
      <c r="Y16" s="23">
        <v>1.5611802227795124E-2</v>
      </c>
      <c r="Z16" s="23">
        <v>0.81344425678253174</v>
      </c>
      <c r="AA16" s="23">
        <v>1.6694922000169754E-2</v>
      </c>
      <c r="AB16" s="23">
        <v>8.8423967361450195E-2</v>
      </c>
      <c r="AC16" s="23">
        <v>3.828098252415657E-2</v>
      </c>
      <c r="AD16" s="23">
        <v>3.8536977022886276E-2</v>
      </c>
      <c r="AE16" s="23">
        <v>4.3368007987737656E-2</v>
      </c>
      <c r="AF16" s="21"/>
      <c r="AG16" s="23">
        <v>0.64055430889129639</v>
      </c>
      <c r="AH16" s="23">
        <v>2.1474801003932953E-2</v>
      </c>
      <c r="AI16" s="23">
        <v>0.68638104200363159</v>
      </c>
      <c r="AJ16" s="23">
        <v>2.3310652002692223E-2</v>
      </c>
      <c r="AK16" s="23">
        <v>1.055124044418335</v>
      </c>
      <c r="AL16" s="23">
        <v>2.9770687222480774E-2</v>
      </c>
      <c r="AM16" s="23">
        <v>0.95955991744995117</v>
      </c>
      <c r="AN16" s="23">
        <v>4.1868002153933048E-3</v>
      </c>
      <c r="AO16" s="23">
        <v>0.95119297504425049</v>
      </c>
      <c r="AP16" s="23">
        <v>6.0232849791646004E-3</v>
      </c>
      <c r="AQ16" s="23">
        <v>0.2439788281917572</v>
      </c>
      <c r="AR16" s="23">
        <v>4.3989714235067368E-2</v>
      </c>
      <c r="AS16" s="23">
        <v>0.27757072448730469</v>
      </c>
      <c r="AT16" s="23">
        <v>4.8993755131959915E-2</v>
      </c>
      <c r="AU16" s="21"/>
      <c r="AV16" s="23">
        <v>0.43380063772201538</v>
      </c>
    </row>
    <row r="17" spans="2:48" x14ac:dyDescent="0.3">
      <c r="B17">
        <v>2017</v>
      </c>
      <c r="C17" s="23">
        <v>0.6832120418548584</v>
      </c>
      <c r="D17" s="23">
        <v>1.037746574729681E-2</v>
      </c>
      <c r="E17" s="23">
        <v>0.73034960031509399</v>
      </c>
      <c r="F17" s="23">
        <v>1.0730533860623837E-2</v>
      </c>
      <c r="G17" s="23">
        <v>1.0555280447006226</v>
      </c>
      <c r="H17" s="23">
        <v>1.3939151540398598E-2</v>
      </c>
      <c r="I17" s="23">
        <v>0.96072888374328613</v>
      </c>
      <c r="J17" s="23">
        <v>2.355760894715786E-3</v>
      </c>
      <c r="K17" s="23">
        <v>0.95273631811141968</v>
      </c>
      <c r="L17" s="23">
        <v>2.8079252224415541E-3</v>
      </c>
      <c r="M17" s="23">
        <v>0.30721282958984375</v>
      </c>
      <c r="N17" s="23">
        <v>2.1789979189634323E-2</v>
      </c>
      <c r="O17" s="23">
        <v>0.32480648159980774</v>
      </c>
      <c r="P17" s="23">
        <v>2.3902693763375282E-2</v>
      </c>
      <c r="Q17" s="21"/>
      <c r="R17" s="23">
        <v>0.35351434350013733</v>
      </c>
      <c r="S17" s="23">
        <v>1.284508965909481E-2</v>
      </c>
      <c r="T17" s="23">
        <v>0.33559766411781311</v>
      </c>
      <c r="U17" s="23">
        <v>1.1046683415770531E-2</v>
      </c>
      <c r="V17" s="23">
        <v>1.1034680604934692</v>
      </c>
      <c r="W17" s="23">
        <v>3.1250499188899994E-2</v>
      </c>
      <c r="X17" s="23">
        <v>0.8150104284286499</v>
      </c>
      <c r="Y17" s="23">
        <v>1.633220911026001E-2</v>
      </c>
      <c r="Z17" s="23">
        <v>0.80911362171173096</v>
      </c>
      <c r="AA17" s="23">
        <v>2.1916737779974937E-2</v>
      </c>
      <c r="AB17" s="23">
        <v>0.13816381990909576</v>
      </c>
      <c r="AC17" s="23">
        <v>4.9089390784502029E-2</v>
      </c>
      <c r="AD17" s="23">
        <v>8.8589310646057129E-2</v>
      </c>
      <c r="AE17" s="23">
        <v>5.723847821354866E-2</v>
      </c>
      <c r="AF17" s="21"/>
      <c r="AG17" s="23">
        <v>0.63707965612411499</v>
      </c>
      <c r="AH17" s="23">
        <v>1.8208442255854607E-2</v>
      </c>
      <c r="AI17" s="23">
        <v>0.69485509395599365</v>
      </c>
      <c r="AJ17" s="23">
        <v>2.2913208231329918E-2</v>
      </c>
      <c r="AK17" s="23">
        <v>1.0774824619293213</v>
      </c>
      <c r="AL17" s="23">
        <v>3.1014326959848404E-2</v>
      </c>
      <c r="AM17" s="23">
        <v>0.96299493312835693</v>
      </c>
      <c r="AN17" s="23">
        <v>3.8551792968064547E-3</v>
      </c>
      <c r="AO17" s="23">
        <v>0.95766037702560425</v>
      </c>
      <c r="AP17" s="23">
        <v>5.7439357042312622E-3</v>
      </c>
      <c r="AQ17" s="23">
        <v>0.26342836022377014</v>
      </c>
      <c r="AR17" s="23">
        <v>5.1402866840362549E-2</v>
      </c>
      <c r="AS17" s="23">
        <v>0.28814592957496643</v>
      </c>
      <c r="AT17" s="23">
        <v>5.4577134549617767E-2</v>
      </c>
      <c r="AU17" s="21"/>
      <c r="AV17" s="23">
        <v>0.41433021426200867</v>
      </c>
    </row>
    <row r="18" spans="2:48" s="5" customFormat="1" x14ac:dyDescent="0.3">
      <c r="B18" s="5">
        <v>2018</v>
      </c>
      <c r="C18" s="33">
        <v>0.69651699066162109</v>
      </c>
      <c r="D18" s="33">
        <v>1.1743967421352863E-2</v>
      </c>
      <c r="E18" s="33">
        <v>0.73860663175582886</v>
      </c>
      <c r="F18" s="33">
        <v>1.2446041218936443E-2</v>
      </c>
      <c r="G18" s="33">
        <v>1.0735834836959839</v>
      </c>
      <c r="H18" s="33">
        <v>1.6526883468031883E-2</v>
      </c>
      <c r="I18" s="33">
        <v>0.96105968952178955</v>
      </c>
      <c r="J18" s="33">
        <v>2.267494797706604E-3</v>
      </c>
      <c r="K18" s="33">
        <v>0.9524722695350647</v>
      </c>
      <c r="L18" s="33">
        <v>3.0170916579663754E-3</v>
      </c>
      <c r="M18" s="33">
        <v>0.27276620268821716</v>
      </c>
      <c r="N18" s="33">
        <v>1.9505560398101807E-2</v>
      </c>
      <c r="O18" s="33">
        <v>0.28347745537757874</v>
      </c>
      <c r="P18" s="33">
        <v>2.2562490776181221E-2</v>
      </c>
      <c r="Q18" s="33"/>
      <c r="R18" s="33">
        <v>0.35035490989685059</v>
      </c>
      <c r="S18" s="33">
        <v>1.3812153600156307E-2</v>
      </c>
      <c r="T18" s="33">
        <v>0.33219426870346069</v>
      </c>
      <c r="U18" s="33">
        <v>1.2465783394873142E-2</v>
      </c>
      <c r="V18" s="33">
        <v>1.120762825012207</v>
      </c>
      <c r="W18" s="33">
        <v>3.9308059960603714E-2</v>
      </c>
      <c r="X18" s="33">
        <v>0.8219451904296875</v>
      </c>
      <c r="Y18" s="33">
        <v>1.473661046475172E-2</v>
      </c>
      <c r="Z18" s="33">
        <v>0.8162466287612915</v>
      </c>
      <c r="AA18" s="33">
        <v>2.0094046369194984E-2</v>
      </c>
      <c r="AB18" s="33">
        <v>9.7286984324455261E-2</v>
      </c>
      <c r="AC18" s="33">
        <v>5.6767769157886505E-2</v>
      </c>
      <c r="AD18" s="33">
        <v>4.6064130961894989E-2</v>
      </c>
      <c r="AE18" s="33">
        <v>6.0304161161184311E-2</v>
      </c>
      <c r="AF18" s="33"/>
      <c r="AG18" s="33">
        <v>0.64111173152923584</v>
      </c>
      <c r="AH18" s="33">
        <v>2.6901597157120705E-2</v>
      </c>
      <c r="AI18" s="33">
        <v>0.6979212760925293</v>
      </c>
      <c r="AJ18" s="33">
        <v>3.0899785459041595E-2</v>
      </c>
      <c r="AK18" s="33">
        <v>1.102260947227478</v>
      </c>
      <c r="AL18" s="33">
        <v>3.1711909919977188E-2</v>
      </c>
      <c r="AM18" s="33">
        <v>0.96175515651702881</v>
      </c>
      <c r="AN18" s="33">
        <v>4.1007301770150661E-3</v>
      </c>
      <c r="AO18" s="33">
        <v>0.95079946517944336</v>
      </c>
      <c r="AP18" s="33">
        <v>6.6774138249456882E-3</v>
      </c>
      <c r="AQ18" s="33">
        <v>0.32606005668640137</v>
      </c>
      <c r="AR18" s="33">
        <v>4.7087188810110092E-2</v>
      </c>
      <c r="AS18" s="33">
        <v>0.38149303197860718</v>
      </c>
      <c r="AT18" s="33">
        <v>5.2195645868778229E-2</v>
      </c>
      <c r="AU18" s="33"/>
      <c r="AV18" s="33">
        <v>0.37792056798934937</v>
      </c>
    </row>
    <row r="19" spans="2:48" x14ac:dyDescent="0.3">
      <c r="B19">
        <v>2019</v>
      </c>
      <c r="C19" s="21">
        <v>0.72245931625366211</v>
      </c>
      <c r="D19" s="21">
        <v>1.271508913487196E-2</v>
      </c>
      <c r="E19" s="21">
        <v>0.74918079376220703</v>
      </c>
      <c r="F19" s="21">
        <v>1.2831630185246468E-2</v>
      </c>
      <c r="G19" s="21">
        <v>1.1330711841583252</v>
      </c>
      <c r="H19" s="21">
        <v>2.1193221211433411E-2</v>
      </c>
      <c r="I19" s="21">
        <v>0.95795589685440063</v>
      </c>
      <c r="J19" s="21">
        <v>2.2259932011365891E-3</v>
      </c>
      <c r="K19" s="21">
        <v>0.94996094703674316</v>
      </c>
      <c r="L19" s="21">
        <v>3.1033512204885483E-3</v>
      </c>
      <c r="M19" s="21">
        <v>0.24886716902256012</v>
      </c>
      <c r="N19" s="21">
        <v>2.534877136349678E-2</v>
      </c>
      <c r="O19" s="21">
        <v>0.25232779979705811</v>
      </c>
      <c r="P19" s="21">
        <v>2.6996353641152382E-2</v>
      </c>
      <c r="Q19" s="21"/>
      <c r="R19" s="21">
        <v>0.36922582983970642</v>
      </c>
      <c r="S19" s="21">
        <v>1.0660788044333458E-2</v>
      </c>
      <c r="T19" s="21">
        <v>0.33662796020507813</v>
      </c>
      <c r="U19" s="21">
        <v>1.3257399201393127E-2</v>
      </c>
      <c r="V19" s="21">
        <v>1.160317063331604</v>
      </c>
      <c r="W19" s="21">
        <v>4.3512258678674698E-2</v>
      </c>
      <c r="X19" s="21">
        <v>0.82936829328536987</v>
      </c>
      <c r="Y19" s="21">
        <v>1.532663032412529E-2</v>
      </c>
      <c r="Z19" s="21">
        <v>0.83647602796554565</v>
      </c>
      <c r="AA19" s="21">
        <v>1.4842862263321877E-2</v>
      </c>
      <c r="AB19" s="21">
        <v>5.5668458342552185E-2</v>
      </c>
      <c r="AC19" s="21">
        <v>6.9735191762447357E-2</v>
      </c>
      <c r="AD19" s="21">
        <v>1.4304879121482372E-2</v>
      </c>
      <c r="AE19" s="21">
        <v>5.1191024482250214E-2</v>
      </c>
      <c r="AF19" s="21"/>
      <c r="AG19" s="21">
        <v>0.66245573759078979</v>
      </c>
      <c r="AH19" s="21">
        <v>3.0677437782287598E-2</v>
      </c>
      <c r="AI19" s="21">
        <v>0.69423401355743408</v>
      </c>
      <c r="AJ19" s="21">
        <v>3.2869525253772736E-2</v>
      </c>
      <c r="AK19" s="21">
        <v>1.1178179979324341</v>
      </c>
      <c r="AL19" s="21">
        <v>3.8085959851741791E-2</v>
      </c>
      <c r="AM19" s="21">
        <v>0.96468091011047363</v>
      </c>
      <c r="AN19" s="21">
        <v>4.4339359737932682E-3</v>
      </c>
      <c r="AO19" s="21">
        <v>0.95042377710342407</v>
      </c>
      <c r="AP19" s="21">
        <v>7.4632903560996056E-3</v>
      </c>
      <c r="AQ19" s="21">
        <v>0.17454281449317932</v>
      </c>
      <c r="AR19" s="21">
        <v>5.166369304060936E-2</v>
      </c>
      <c r="AS19" s="21">
        <v>0.22568266093730927</v>
      </c>
      <c r="AT19" s="21">
        <v>5.0941552966833115E-2</v>
      </c>
      <c r="AU19" s="21"/>
      <c r="AV19" s="21">
        <v>0.32067757844924927</v>
      </c>
    </row>
    <row r="20" spans="2:48" x14ac:dyDescent="0.3">
      <c r="B20">
        <v>2020</v>
      </c>
      <c r="C20" s="21">
        <v>0.70769357681274414</v>
      </c>
      <c r="D20" s="21">
        <v>1.4709195122122765E-2</v>
      </c>
      <c r="E20" s="21">
        <v>0.74779772758483887</v>
      </c>
      <c r="F20" s="21">
        <v>1.5884479507803917E-2</v>
      </c>
      <c r="G20" s="21">
        <v>1.1530117988586426</v>
      </c>
      <c r="H20" s="21">
        <v>1.9772825762629509E-2</v>
      </c>
      <c r="I20" s="21">
        <v>0.95996910333633423</v>
      </c>
      <c r="J20" s="21">
        <v>2.4450439959764481E-3</v>
      </c>
      <c r="K20" s="21">
        <v>0.95069682598114014</v>
      </c>
      <c r="L20" s="21">
        <v>3.3623515628278255E-3</v>
      </c>
      <c r="M20" s="21">
        <v>0.28625479340553284</v>
      </c>
      <c r="N20" s="21">
        <v>2.4651013314723969E-2</v>
      </c>
      <c r="O20" s="21">
        <v>0.28803199529647827</v>
      </c>
      <c r="P20" s="21">
        <v>2.486785501241684E-2</v>
      </c>
      <c r="Q20" s="21"/>
      <c r="R20" s="21">
        <v>0.36844310164451599</v>
      </c>
      <c r="S20" s="21">
        <v>1.4466035179793835E-2</v>
      </c>
      <c r="T20" s="21">
        <v>0.3408852219581604</v>
      </c>
      <c r="U20" s="21">
        <v>1.2995834462344646E-2</v>
      </c>
      <c r="V20" s="21">
        <v>1.1418465375900269</v>
      </c>
      <c r="W20" s="21">
        <v>3.7697162479162216E-2</v>
      </c>
      <c r="X20" s="21">
        <v>0.84563446044921875</v>
      </c>
      <c r="Y20" s="21">
        <v>1.7929298803210258E-2</v>
      </c>
      <c r="Z20" s="21">
        <v>0.83447098731994629</v>
      </c>
      <c r="AA20" s="21">
        <v>1.4447450637817383E-2</v>
      </c>
      <c r="AB20" s="21">
        <v>7.4166364967823029E-2</v>
      </c>
      <c r="AC20" s="21">
        <v>6.4826950430870056E-2</v>
      </c>
      <c r="AD20" s="21">
        <v>3.6942750215530396E-2</v>
      </c>
      <c r="AE20" s="21">
        <v>5.9165202081203461E-2</v>
      </c>
      <c r="AF20" s="21"/>
      <c r="AG20" s="21">
        <v>0.63890320062637329</v>
      </c>
      <c r="AH20" s="21">
        <v>2.7428826317191124E-2</v>
      </c>
      <c r="AI20" s="21">
        <v>0.69491219520568848</v>
      </c>
      <c r="AJ20" s="21">
        <v>3.4312192350625992E-2</v>
      </c>
      <c r="AK20" s="21">
        <v>1.1646760702133179</v>
      </c>
      <c r="AL20" s="21">
        <v>4.3319094926118851E-2</v>
      </c>
      <c r="AM20" s="21">
        <v>0.96185415983200073</v>
      </c>
      <c r="AN20" s="21">
        <v>6.434230599552393E-3</v>
      </c>
      <c r="AO20" s="21">
        <v>0.94110804796218872</v>
      </c>
      <c r="AP20" s="21">
        <v>1.0988309979438782E-2</v>
      </c>
      <c r="AQ20" s="21">
        <v>0.21900278329849243</v>
      </c>
      <c r="AR20" s="21">
        <v>6.6494151949882507E-2</v>
      </c>
      <c r="AS20" s="21">
        <v>0.25404572486877441</v>
      </c>
      <c r="AT20" s="21">
        <v>5.8880873024463654E-2</v>
      </c>
      <c r="AU20" s="21"/>
      <c r="AV20" s="21">
        <v>0.30373832583427429</v>
      </c>
    </row>
    <row r="21" spans="2:48" x14ac:dyDescent="0.3"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</row>
  </sheetData>
  <mergeCells count="21">
    <mergeCell ref="AS3:AT3"/>
    <mergeCell ref="I3:J3"/>
    <mergeCell ref="K3:L3"/>
    <mergeCell ref="M3:N3"/>
    <mergeCell ref="O3:P3"/>
    <mergeCell ref="X3:Y3"/>
    <mergeCell ref="Z3:AA3"/>
    <mergeCell ref="AB3:AC3"/>
    <mergeCell ref="AD3:AE3"/>
    <mergeCell ref="AM3:AN3"/>
    <mergeCell ref="AO3:AP3"/>
    <mergeCell ref="AQ3:AR3"/>
    <mergeCell ref="C1:P1"/>
    <mergeCell ref="R1:AE1"/>
    <mergeCell ref="AG1:AT1"/>
    <mergeCell ref="I2:L2"/>
    <mergeCell ref="M2:P2"/>
    <mergeCell ref="X2:AA2"/>
    <mergeCell ref="AB2:AE2"/>
    <mergeCell ref="AM2:AP2"/>
    <mergeCell ref="AQ2:AT2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Employment Share</vt:lpstr>
      <vt:lpstr>Old Share by Employment</vt:lpstr>
      <vt:lpstr>Employment Old</vt:lpstr>
      <vt:lpstr>Employment Young</vt:lpstr>
      <vt:lpstr>Income Moments</vt:lpstr>
      <vt:lpstr>Income Moments YO</vt:lpstr>
      <vt:lpstr>Agr Moments Raw</vt:lpstr>
      <vt:lpstr>Agr Moments Permanent</vt:lpstr>
      <vt:lpstr>Agr Moments Other</vt:lpstr>
      <vt:lpstr>Part-time LS</vt:lpstr>
      <vt:lpstr>Agr Moments Balanced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Chaoran Chen</cp:lastModifiedBy>
  <dcterms:modified xsi:type="dcterms:W3CDTF">2024-03-04T20:31:11Z</dcterms:modified>
</cp:coreProperties>
</file>