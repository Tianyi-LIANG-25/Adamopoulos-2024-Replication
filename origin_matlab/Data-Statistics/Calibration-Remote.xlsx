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Distortions and Productivity in China\Replication-Files\Data-Statistics\"/>
    </mc:Choice>
  </mc:AlternateContent>
  <xr:revisionPtr revIDLastSave="0" documentId="13_ncr:1_{ACE288E6-01C0-46AC-813B-6F6395DBA75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mployment Share" sheetId="1" r:id="rId1"/>
    <sheet name="Old Share by Employment" sheetId="6" r:id="rId2"/>
    <sheet name="Employment Old" sheetId="8" r:id="rId3"/>
    <sheet name="Employment Young" sheetId="9" r:id="rId4"/>
    <sheet name="Income Moments" sheetId="2" r:id="rId5"/>
    <sheet name="Income Moments YO" sheetId="5" r:id="rId6"/>
    <sheet name="Agr Moments Raw" sheetId="3" r:id="rId7"/>
    <sheet name="Agr Moments Permanent" sheetId="14" r:id="rId8"/>
    <sheet name="Agr Moments Other" sheetId="15" r:id="rId9"/>
    <sheet name="Part-time LS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6" i="2" l="1"/>
  <c r="AB21" i="15"/>
</calcChain>
</file>

<file path=xl/sharedStrings.xml><?xml version="1.0" encoding="utf-8"?>
<sst xmlns="http://schemas.openxmlformats.org/spreadsheetml/2006/main" count="186" uniqueCount="85">
  <si>
    <t>Rural-Urban</t>
  </si>
  <si>
    <t>Young</t>
  </si>
  <si>
    <t>Old</t>
  </si>
  <si>
    <t>YO Diff</t>
  </si>
  <si>
    <t>Urban</t>
  </si>
  <si>
    <t>Rural</t>
  </si>
  <si>
    <t>Rural-Agr</t>
  </si>
  <si>
    <t>Rural-Farming</t>
  </si>
  <si>
    <t>Farming</t>
  </si>
  <si>
    <t>Rural Nonagr</t>
  </si>
  <si>
    <t>Urban Nonagr</t>
  </si>
  <si>
    <t>Disp</t>
  </si>
  <si>
    <t>Corr</t>
  </si>
  <si>
    <t>Spearman</t>
  </si>
  <si>
    <t>Nonagr</t>
  </si>
  <si>
    <t>U-R</t>
  </si>
  <si>
    <t>R-A</t>
  </si>
  <si>
    <t>R-F</t>
  </si>
  <si>
    <t>Wage Differentials</t>
  </si>
  <si>
    <t>Farming-Rural</t>
  </si>
  <si>
    <t>Ope</t>
  </si>
  <si>
    <t>Agr</t>
  </si>
  <si>
    <t>A+R</t>
  </si>
  <si>
    <t>A+N</t>
  </si>
  <si>
    <t>Some Rural</t>
  </si>
  <si>
    <t>Some Urban</t>
  </si>
  <si>
    <t>Ope+Agr</t>
  </si>
  <si>
    <t>Pop</t>
  </si>
  <si>
    <t>Farming-Nonagr</t>
  </si>
  <si>
    <t>LS Part-Time</t>
  </si>
  <si>
    <t>Urban nonagr</t>
  </si>
  <si>
    <t>Rural nonagr</t>
  </si>
  <si>
    <t>Operator</t>
  </si>
  <si>
    <t>Employment Share</t>
  </si>
  <si>
    <t>A + R</t>
  </si>
  <si>
    <t>A + U</t>
  </si>
  <si>
    <t>Wage-Diff: W-WO Operator</t>
  </si>
  <si>
    <t>Median</t>
  </si>
  <si>
    <t>Mean</t>
  </si>
  <si>
    <t>Disp TFPR</t>
  </si>
  <si>
    <t>Disp TFPQ</t>
  </si>
  <si>
    <t>Linear Corr</t>
  </si>
  <si>
    <t>Rank Corr</t>
  </si>
  <si>
    <t>Both</t>
  </si>
  <si>
    <t>Corr LS Wage, PT</t>
  </si>
  <si>
    <t>0.10-0.20</t>
  </si>
  <si>
    <t>0.20-0.35</t>
  </si>
  <si>
    <t>Rank corr</t>
  </si>
  <si>
    <t>s.e.</t>
  </si>
  <si>
    <t>Disp Land</t>
  </si>
  <si>
    <t>TFPQ Vs. TFPR</t>
  </si>
  <si>
    <t>Raw TFPQ and TFPR (Entire Sample)</t>
  </si>
  <si>
    <t>TFPQ Vs. Land</t>
  </si>
  <si>
    <t>Raw TFPQ and TFPR (Top Sample)</t>
  </si>
  <si>
    <t>Raw TFPQ and TFPR (Rental Sample)</t>
  </si>
  <si>
    <t>Fraction of HH</t>
  </si>
  <si>
    <t>Operating Farms</t>
  </si>
  <si>
    <t>Farm Size Distribution</t>
  </si>
  <si>
    <t>AFS</t>
  </si>
  <si>
    <t>25p</t>
  </si>
  <si>
    <t>50p</t>
  </si>
  <si>
    <t>75p</t>
  </si>
  <si>
    <t>s.d.</t>
  </si>
  <si>
    <t>Sideline Agr</t>
  </si>
  <si>
    <t xml:space="preserve">Fraction of </t>
  </si>
  <si>
    <t>HH Labor</t>
  </si>
  <si>
    <t>Ave Labor Days</t>
  </si>
  <si>
    <t>Intensive 1</t>
  </si>
  <si>
    <t>Intensive 2</t>
  </si>
  <si>
    <t>Among Households with Operators</t>
  </si>
  <si>
    <t>Rent in HH</t>
  </si>
  <si>
    <t>Rent out HH</t>
  </si>
  <si>
    <t>Inactive HH</t>
  </si>
  <si>
    <t>Rent in land</t>
  </si>
  <si>
    <t>Rent out land</t>
  </si>
  <si>
    <t>Among All Households</t>
  </si>
  <si>
    <t>Fallow HH</t>
  </si>
  <si>
    <t>Fallow land</t>
  </si>
  <si>
    <t>TFPQ Vs Rentals</t>
  </si>
  <si>
    <t>Land under no operator</t>
  </si>
  <si>
    <t>Extensive 2</t>
  </si>
  <si>
    <t>Extensive 1</t>
  </si>
  <si>
    <t>Rent In Size</t>
  </si>
  <si>
    <t>N-A</t>
  </si>
  <si>
    <t>N-F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</si>
</sst>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5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0" borderId="4"/>
  </cellStyleXfs>
  <cellXfs count="2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1" xfId="0" applyNumberFormat="1" applyBorder="1"/>
    <xf numFmtId="0" fontId="1" fillId="0" borderId="0" xfId="0" applyFont="1"/>
    <xf numFmtId="165" fontId="2" fillId="0" borderId="2" xfId="0" applyNumberFormat="1" applyFont="1" applyBorder="1"/>
    <xf numFmtId="0" fontId="2" fillId="0" borderId="0" xfId="0" applyFont="1"/>
    <xf numFmtId="165" fontId="0" fillId="0" borderId="3" xfId="0" applyNumberFormat="1" applyBorder="1"/>
    <xf numFmtId="165" fontId="2" fillId="0" borderId="3" xfId="0" applyNumberFormat="1" applyFont="1" applyBorder="1"/>
    <xf numFmtId="165" fontId="0" fillId="0" borderId="0" xfId="0" applyNumberFormat="1"/>
    <xf numFmtId="165" fontId="3" fillId="2" borderId="4" xfId="1" applyNumberFormat="1" applyBorder="1"/>
    <xf numFmtId="165" fontId="3" fillId="2" borderId="0" xfId="1" applyNumberFormat="1"/>
    <xf numFmtId="165" fontId="3" fillId="2" borderId="2" xfId="1" applyNumberFormat="1" applyBorder="1"/>
    <xf numFmtId="165" fontId="4" fillId="2" borderId="4" xfId="1" applyNumberFormat="1" applyFont="1" applyBorder="1"/>
    <xf numFmtId="165" fontId="4" fillId="2" borderId="0" xfId="1" applyNumberFormat="1" applyFont="1"/>
    <xf numFmtId="165" fontId="4" fillId="2" borderId="2" xfId="1" applyNumberFormat="1" applyFont="1" applyBorder="1"/>
    <xf numFmtId="0" fontId="3" fillId="2" borderId="0" xfId="1"/>
    <xf numFmtId="165" fontId="3" fillId="2" borderId="3" xfId="1" applyNumberFormat="1" applyBorder="1"/>
    <xf numFmtId="0" fontId="4" fillId="2" borderId="0" xfId="1" applyFont="1"/>
    <xf numFmtId="165" fontId="4" fillId="2" borderId="3" xfId="1" applyNumberFormat="1" applyFont="1" applyBorder="1"/>
    <xf numFmtId="0" fontId="0" fillId="0" borderId="4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</cellXfs>
  <cellStyles count="3">
    <cellStyle name="Good" xfId="1" builtinId="26"/>
    <cellStyle name="Normal" xfId="0" builtinId="0"/>
    <cellStyle name="常规 2" xfId="2" xr:uid="{892D0D01-5B1F-3544-B5FC-160FB914B5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1"/>
  <sheetViews>
    <sheetView tabSelected="1" workbookViewId="0">
      <selection activeCell="B5" sqref="B5"/>
    </sheetView>
  </sheetViews>
  <sheetFormatPr defaultColWidth="11.6640625" defaultRowHeight="14.4" x14ac:dyDescent="0.3"/>
  <sheetData>
    <row r="1" spans="1:32" x14ac:dyDescent="0.3">
      <c r="F1" t="s">
        <v>33</v>
      </c>
      <c r="O1" s="21" t="s">
        <v>29</v>
      </c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</row>
    <row r="2" spans="1:32" x14ac:dyDescent="0.3">
      <c r="B2" t="s">
        <v>32</v>
      </c>
      <c r="D2" t="s">
        <v>21</v>
      </c>
      <c r="F2" t="s">
        <v>31</v>
      </c>
      <c r="H2" t="s">
        <v>30</v>
      </c>
      <c r="J2" t="s">
        <v>34</v>
      </c>
      <c r="L2" t="s">
        <v>35</v>
      </c>
      <c r="O2" s="21" t="s">
        <v>5</v>
      </c>
      <c r="P2" s="21"/>
      <c r="Q2" s="21"/>
      <c r="R2" s="21"/>
      <c r="S2" s="21"/>
      <c r="T2" s="21"/>
      <c r="U2" s="21" t="s">
        <v>4</v>
      </c>
      <c r="V2" s="21"/>
      <c r="W2" s="21"/>
      <c r="X2" s="21"/>
      <c r="Y2" s="21"/>
      <c r="Z2" s="21"/>
      <c r="AA2" s="21" t="s">
        <v>43</v>
      </c>
      <c r="AB2" s="21"/>
      <c r="AC2" s="21"/>
      <c r="AD2" s="21"/>
      <c r="AE2" s="21"/>
      <c r="AF2" s="21"/>
    </row>
    <row r="4" spans="1:32" x14ac:dyDescent="0.3">
      <c r="A4">
        <v>2003</v>
      </c>
    </row>
    <row r="5" spans="1:32" x14ac:dyDescent="0.3">
      <c r="A5">
        <v>2004</v>
      </c>
      <c r="B5" s="15">
        <v>0.28887501358985901</v>
      </c>
      <c r="C5" s="15">
        <v>2.7546198107302189E-3</v>
      </c>
      <c r="D5" s="15">
        <v>0.22491584718227386</v>
      </c>
      <c r="E5" s="15">
        <v>1.9642519764602184E-3</v>
      </c>
      <c r="F5" s="15">
        <v>0.11040829867124557</v>
      </c>
      <c r="G5" s="15">
        <v>1.5675227623432875E-3</v>
      </c>
      <c r="H5" s="15">
        <v>0.16654902696609497</v>
      </c>
      <c r="I5" s="15">
        <v>2.1036462858319283E-3</v>
      </c>
      <c r="J5" s="15">
        <v>0.15772613883018494</v>
      </c>
      <c r="K5" s="15">
        <v>1.9047040259465575E-3</v>
      </c>
      <c r="L5" s="15">
        <v>5.1525682210922241E-2</v>
      </c>
      <c r="M5" s="15">
        <v>1.2510379310697317E-3</v>
      </c>
      <c r="N5" s="15"/>
      <c r="O5" s="15">
        <v>0.40664154291152954</v>
      </c>
      <c r="P5" s="15">
        <v>3.5443189553916454E-3</v>
      </c>
      <c r="Q5" s="15">
        <v>0.34782609343528748</v>
      </c>
      <c r="R5" s="15">
        <v>1.089883130043745E-2</v>
      </c>
      <c r="S5" s="15">
        <v>0.27313670516014099</v>
      </c>
      <c r="T5" s="15">
        <v>0.50658750534057617</v>
      </c>
      <c r="U5" s="15">
        <v>0.26256105303764343</v>
      </c>
      <c r="V5" s="15">
        <v>4.4033299200236797E-3</v>
      </c>
      <c r="W5" s="15">
        <v>0.20000000298023224</v>
      </c>
      <c r="X5" s="15">
        <v>5.231889896094799E-3</v>
      </c>
      <c r="Y5" s="15">
        <v>0.20027907192707062</v>
      </c>
      <c r="Z5" s="15">
        <v>0.25</v>
      </c>
      <c r="AA5" s="15">
        <v>0.37116348743438721</v>
      </c>
      <c r="AB5" s="15">
        <v>2.9597284737974405E-3</v>
      </c>
      <c r="AC5" s="15">
        <v>0.30103456974029541</v>
      </c>
      <c r="AD5" s="15">
        <v>9.1284792870283127E-3</v>
      </c>
      <c r="AE5" s="15">
        <v>0.26449507474899292</v>
      </c>
      <c r="AF5" s="15">
        <v>0.45170816779136658</v>
      </c>
    </row>
    <row r="6" spans="1:32" x14ac:dyDescent="0.3">
      <c r="A6">
        <v>2005</v>
      </c>
      <c r="B6" s="12">
        <v>0.28609204292297363</v>
      </c>
      <c r="C6" s="12">
        <v>2.1675205789506435E-3</v>
      </c>
      <c r="D6" s="12">
        <v>0.21862073242664337</v>
      </c>
      <c r="E6" s="12">
        <v>2.151082968339324E-3</v>
      </c>
      <c r="F6" s="12">
        <v>0.11590825766324997</v>
      </c>
      <c r="G6" s="12">
        <v>1.7734251450747252E-3</v>
      </c>
      <c r="H6" s="12">
        <v>0.17586532235145569</v>
      </c>
      <c r="I6" s="12">
        <v>2.2665061987936497E-3</v>
      </c>
      <c r="J6" s="12">
        <v>0.15468397736549377</v>
      </c>
      <c r="K6" s="12">
        <v>1.7685597995296121E-3</v>
      </c>
      <c r="L6" s="12">
        <v>4.8829659819602966E-2</v>
      </c>
      <c r="M6" s="12">
        <v>1.0392173426225781E-3</v>
      </c>
      <c r="N6" s="12"/>
      <c r="O6" s="12">
        <v>0.40856325626373291</v>
      </c>
      <c r="P6" s="12">
        <v>4.0029254741966724E-3</v>
      </c>
      <c r="Q6" s="12">
        <v>0.3333333432674408</v>
      </c>
      <c r="R6" s="12">
        <v>6.9865509867668152E-3</v>
      </c>
      <c r="S6" s="12">
        <v>0.27878051996231079</v>
      </c>
      <c r="T6" s="12">
        <v>0.51851856708526611</v>
      </c>
      <c r="U6" s="12">
        <v>0.259736567735672</v>
      </c>
      <c r="V6" s="12">
        <v>5.0752647221088409E-3</v>
      </c>
      <c r="W6" s="12">
        <v>0.18518517911434174</v>
      </c>
      <c r="X6" s="12">
        <v>7.8666824847459793E-3</v>
      </c>
      <c r="Y6" s="12">
        <v>0.20326578617095947</v>
      </c>
      <c r="Z6" s="12">
        <v>0.24831309914588928</v>
      </c>
      <c r="AA6" s="12">
        <v>0.3728547990322113</v>
      </c>
      <c r="AB6" s="12">
        <v>2.8839702717959881E-3</v>
      </c>
      <c r="AC6" s="12">
        <v>0.29230770468711853</v>
      </c>
      <c r="AD6" s="12">
        <v>4.7835069708526134E-3</v>
      </c>
      <c r="AE6" s="12">
        <v>0.27021840214729309</v>
      </c>
      <c r="AF6" s="12">
        <v>0.46666669845581055</v>
      </c>
    </row>
    <row r="7" spans="1:32" x14ac:dyDescent="0.3">
      <c r="A7">
        <v>2006</v>
      </c>
      <c r="B7" s="12">
        <v>0.28030410408973694</v>
      </c>
      <c r="C7" s="12">
        <v>2.2359420545399189E-3</v>
      </c>
      <c r="D7" s="12">
        <v>0.21205072104930878</v>
      </c>
      <c r="E7" s="12">
        <v>2.2120194043964148E-3</v>
      </c>
      <c r="F7" s="12">
        <v>0.11364216357469559</v>
      </c>
      <c r="G7" s="12">
        <v>1.7113399226218462E-3</v>
      </c>
      <c r="H7" s="12">
        <v>0.19304417073726654</v>
      </c>
      <c r="I7" s="12">
        <v>1.9439463503658772E-3</v>
      </c>
      <c r="J7" s="12">
        <v>0.14915889501571655</v>
      </c>
      <c r="K7" s="12">
        <v>1.9439026946201921E-3</v>
      </c>
      <c r="L7" s="12">
        <v>5.1799949258565903E-2</v>
      </c>
      <c r="M7" s="12">
        <v>1.1002765968441963E-3</v>
      </c>
      <c r="N7" s="12"/>
      <c r="O7" s="12">
        <v>0.39246907830238342</v>
      </c>
      <c r="P7" s="12">
        <v>3.7583259399980307E-3</v>
      </c>
      <c r="Q7" s="12">
        <v>0.3333333432674408</v>
      </c>
      <c r="R7" s="12">
        <v>8.71506636030972E-4</v>
      </c>
      <c r="S7" s="12">
        <v>0.26851844787597656</v>
      </c>
      <c r="T7" s="12">
        <v>0.4821428656578064</v>
      </c>
      <c r="U7" s="12">
        <v>0.25956067442893982</v>
      </c>
      <c r="V7" s="12">
        <v>4.9557131715118885E-3</v>
      </c>
      <c r="W7" s="12">
        <v>0.18181818723678589</v>
      </c>
      <c r="X7" s="12">
        <v>6.9572078064084053E-3</v>
      </c>
      <c r="Y7" s="12">
        <v>0.20676557719707489</v>
      </c>
      <c r="Z7" s="12">
        <v>0.25806450843811035</v>
      </c>
      <c r="AA7" s="12">
        <v>0.35821008682250977</v>
      </c>
      <c r="AB7" s="12">
        <v>3.1291123013943434E-3</v>
      </c>
      <c r="AC7" s="12">
        <v>0.28571429848670959</v>
      </c>
      <c r="AD7" s="12">
        <v>4.1155056096613407E-3</v>
      </c>
      <c r="AE7" s="12">
        <v>0.26059499382972717</v>
      </c>
      <c r="AF7" s="12">
        <v>0.42512080073356628</v>
      </c>
    </row>
    <row r="8" spans="1:32" x14ac:dyDescent="0.3">
      <c r="A8">
        <v>2007</v>
      </c>
      <c r="B8" s="12">
        <v>0.26462623476982117</v>
      </c>
      <c r="C8" s="12">
        <v>2.5180024094879627E-3</v>
      </c>
      <c r="D8" s="12">
        <v>0.20644761621952057</v>
      </c>
      <c r="E8" s="12">
        <v>2.2310253698378801E-3</v>
      </c>
      <c r="F8" s="12">
        <v>0.12249159812927246</v>
      </c>
      <c r="G8" s="12">
        <v>1.759830629453063E-3</v>
      </c>
      <c r="H8" s="12">
        <v>0.20207524299621582</v>
      </c>
      <c r="I8" s="12">
        <v>2.3139414843171835E-3</v>
      </c>
      <c r="J8" s="12">
        <v>0.15153196454048157</v>
      </c>
      <c r="K8" s="12">
        <v>2.0004622638225555E-3</v>
      </c>
      <c r="L8" s="12">
        <v>5.2827358245849609E-2</v>
      </c>
      <c r="M8" s="12">
        <v>1.2926621129736304E-3</v>
      </c>
      <c r="N8" s="12"/>
      <c r="O8" s="12">
        <v>0.37017539143562317</v>
      </c>
      <c r="P8" s="12">
        <v>4.1788211092352867E-3</v>
      </c>
      <c r="Q8" s="12">
        <v>0.28571429848670959</v>
      </c>
      <c r="R8" s="12">
        <v>6.0713249258697033E-3</v>
      </c>
      <c r="S8" s="12">
        <v>0.27276504039764404</v>
      </c>
      <c r="T8" s="12">
        <v>0.47963806986808777</v>
      </c>
      <c r="U8" s="12">
        <v>0.2495838850736618</v>
      </c>
      <c r="V8" s="12">
        <v>5.138167180120945E-3</v>
      </c>
      <c r="W8" s="12">
        <v>0.17647059261798859</v>
      </c>
      <c r="X8" s="12">
        <v>7.2613856755197048E-3</v>
      </c>
      <c r="Y8" s="12">
        <v>0.20017562806606293</v>
      </c>
      <c r="Z8" s="12">
        <v>0.24242424964904785</v>
      </c>
      <c r="AA8" s="12">
        <v>0.33900219202041626</v>
      </c>
      <c r="AB8" s="12">
        <v>3.8872028235346079E-3</v>
      </c>
      <c r="AC8" s="12">
        <v>0.24657534062862396</v>
      </c>
      <c r="AD8" s="12">
        <v>4.3554743751883507E-3</v>
      </c>
      <c r="AE8" s="12">
        <v>0.26135480403900146</v>
      </c>
      <c r="AF8" s="12">
        <v>0.41806721687316895</v>
      </c>
    </row>
    <row r="9" spans="1:32" x14ac:dyDescent="0.3">
      <c r="A9">
        <v>2008</v>
      </c>
      <c r="B9" s="12">
        <v>0.26040774583816528</v>
      </c>
      <c r="C9" s="12">
        <v>2.5210371240973473E-3</v>
      </c>
      <c r="D9" s="12">
        <v>0.2104695737361908</v>
      </c>
      <c r="E9" s="12">
        <v>2.1366998553276062E-3</v>
      </c>
      <c r="F9" s="12">
        <v>0.12444909662008286</v>
      </c>
      <c r="G9" s="12">
        <v>2.0754269789904356E-3</v>
      </c>
      <c r="H9" s="12">
        <v>0.21065981686115265</v>
      </c>
      <c r="I9" s="12">
        <v>2.3161375429481268E-3</v>
      </c>
      <c r="J9" s="12">
        <v>0.14505849778652191</v>
      </c>
      <c r="K9" s="12">
        <v>1.8876425456255674E-3</v>
      </c>
      <c r="L9" s="12">
        <v>4.8955261707305908E-2</v>
      </c>
      <c r="M9" s="12">
        <v>1.1987636098638177E-3</v>
      </c>
      <c r="N9" s="12"/>
      <c r="O9" s="12">
        <v>0.37182599306106567</v>
      </c>
      <c r="P9" s="12">
        <v>3.8237678818404675E-3</v>
      </c>
      <c r="Q9" s="12">
        <v>0.28571429848670959</v>
      </c>
      <c r="R9" s="12">
        <v>6.0567338950932026E-3</v>
      </c>
      <c r="S9" s="12">
        <v>0.27042326331138611</v>
      </c>
      <c r="T9" s="12">
        <v>0.46956524252891541</v>
      </c>
      <c r="U9" s="12">
        <v>0.22833447158336639</v>
      </c>
      <c r="V9" s="12">
        <v>4.413483664393425E-3</v>
      </c>
      <c r="W9" s="12">
        <v>0.1666666716337204</v>
      </c>
      <c r="X9" s="12">
        <v>5.3763540927320719E-4</v>
      </c>
      <c r="Y9" s="12">
        <v>0.17744415998458862</v>
      </c>
      <c r="Z9" s="12">
        <v>0.21943572163581848</v>
      </c>
      <c r="AA9" s="12">
        <v>0.33561894297599792</v>
      </c>
      <c r="AB9" s="12">
        <v>3.2846357207745314E-3</v>
      </c>
      <c r="AC9" s="12">
        <v>0.24657534062862396</v>
      </c>
      <c r="AD9" s="12">
        <v>4.5630387030541897E-3</v>
      </c>
      <c r="AE9" s="12">
        <v>0.25787481665611267</v>
      </c>
      <c r="AF9" s="12">
        <v>0.40866875648498535</v>
      </c>
    </row>
    <row r="10" spans="1:32" x14ac:dyDescent="0.3">
      <c r="A10">
        <v>2009</v>
      </c>
      <c r="B10" s="12">
        <v>0.24632687866687775</v>
      </c>
      <c r="C10" s="12">
        <v>2.3236609995365143E-3</v>
      </c>
      <c r="D10" s="12">
        <v>0.21008321642875671</v>
      </c>
      <c r="E10" s="12">
        <v>2.6017879135906696E-3</v>
      </c>
      <c r="F10" s="12">
        <v>0.13538551330566406</v>
      </c>
      <c r="G10" s="12">
        <v>1.9568514544516802E-3</v>
      </c>
      <c r="H10" s="12">
        <v>0.21820959448814392</v>
      </c>
      <c r="I10" s="12">
        <v>2.4307819548994303E-3</v>
      </c>
      <c r="J10" s="12">
        <v>0.14490963518619537</v>
      </c>
      <c r="K10" s="12">
        <v>1.962119247764349E-3</v>
      </c>
      <c r="L10" s="12">
        <v>4.5085165649652481E-2</v>
      </c>
      <c r="M10" s="12">
        <v>1.0803142795339227E-3</v>
      </c>
      <c r="N10" s="12"/>
      <c r="O10" s="12">
        <v>0.36120793223381042</v>
      </c>
      <c r="P10" s="12">
        <v>3.6361762322485447E-3</v>
      </c>
      <c r="Q10" s="12">
        <v>0.25</v>
      </c>
      <c r="R10" s="12">
        <v>7.9103847965598106E-3</v>
      </c>
      <c r="S10" s="12">
        <v>0.271209716796875</v>
      </c>
      <c r="T10" s="12">
        <v>0.47272729873657227</v>
      </c>
      <c r="U10" s="12">
        <v>0.20404399931430817</v>
      </c>
      <c r="V10" s="12">
        <v>4.6070911921560764E-3</v>
      </c>
      <c r="W10" s="12">
        <v>0.1428571492433548</v>
      </c>
      <c r="X10" s="12">
        <v>3.2453869935125113E-3</v>
      </c>
      <c r="Y10" s="12">
        <v>0.16568626463413239</v>
      </c>
      <c r="Z10" s="12">
        <v>0.15909090638160706</v>
      </c>
      <c r="AA10" s="12">
        <v>0.32391342520713806</v>
      </c>
      <c r="AB10" s="12">
        <v>3.1424656044691801E-3</v>
      </c>
      <c r="AC10" s="12">
        <v>0.2142857164144516</v>
      </c>
      <c r="AD10" s="12">
        <v>4.9855150282382965E-3</v>
      </c>
      <c r="AE10" s="12">
        <v>0.25899678468704224</v>
      </c>
      <c r="AF10" s="12">
        <v>0.3888888955116272</v>
      </c>
    </row>
    <row r="11" spans="1:32" x14ac:dyDescent="0.3">
      <c r="A11">
        <v>2010</v>
      </c>
      <c r="B11" s="12">
        <v>0.24391433596611023</v>
      </c>
      <c r="C11" s="12">
        <v>2.449102932587266E-3</v>
      </c>
      <c r="D11" s="12">
        <v>0.20631155371665955</v>
      </c>
      <c r="E11" s="12">
        <v>2.1345736458897591E-3</v>
      </c>
      <c r="F11" s="12">
        <v>0.14469107985496521</v>
      </c>
      <c r="G11" s="12">
        <v>2.0469196606427431E-3</v>
      </c>
      <c r="H11" s="12">
        <v>0.22522668540477753</v>
      </c>
      <c r="I11" s="12">
        <v>2.3830076679587364E-3</v>
      </c>
      <c r="J11" s="12">
        <v>0.13373850286006927</v>
      </c>
      <c r="K11" s="12">
        <v>2.1720712538808584E-3</v>
      </c>
      <c r="L11" s="12">
        <v>4.6117845922708511E-2</v>
      </c>
      <c r="M11" s="12">
        <v>1.1720906477421522E-3</v>
      </c>
      <c r="N11" s="12"/>
      <c r="O11" s="12">
        <v>0.36134880781173706</v>
      </c>
      <c r="P11" s="12">
        <v>4.3683447875082493E-3</v>
      </c>
      <c r="Q11" s="12">
        <v>0.25531914830207825</v>
      </c>
      <c r="R11" s="12">
        <v>9.8605873063206673E-3</v>
      </c>
      <c r="S11" s="12">
        <v>0.27325183153152466</v>
      </c>
      <c r="T11" s="12">
        <v>0.47951808571815491</v>
      </c>
      <c r="U11" s="12">
        <v>0.2005668431520462</v>
      </c>
      <c r="V11" s="12">
        <v>4.7127082943916321E-3</v>
      </c>
      <c r="W11" s="12">
        <v>0.1304347813129425</v>
      </c>
      <c r="X11" s="12">
        <v>5.0450935959815979E-3</v>
      </c>
      <c r="Y11" s="12">
        <v>0.16890254616737366</v>
      </c>
      <c r="Z11" s="12">
        <v>0.1617647111415863</v>
      </c>
      <c r="AA11" s="12">
        <v>0.32012191414833069</v>
      </c>
      <c r="AB11" s="12">
        <v>3.7210602313280106E-3</v>
      </c>
      <c r="AC11" s="12">
        <v>0.2097407728433609</v>
      </c>
      <c r="AD11" s="12">
        <v>5.7391868904232979E-3</v>
      </c>
      <c r="AE11" s="12">
        <v>0.26030451059341431</v>
      </c>
      <c r="AF11" s="12">
        <v>0.39655172824859619</v>
      </c>
    </row>
    <row r="12" spans="1:32" x14ac:dyDescent="0.3">
      <c r="A12">
        <v>2011</v>
      </c>
      <c r="B12" s="12">
        <v>0.24259930849075317</v>
      </c>
      <c r="C12" s="12">
        <v>2.5553146842867136E-3</v>
      </c>
      <c r="D12" s="12">
        <v>0.20091375708580017</v>
      </c>
      <c r="E12" s="12">
        <v>2.779920119792223E-3</v>
      </c>
      <c r="F12" s="12">
        <v>0.15269596874713898</v>
      </c>
      <c r="G12" s="12">
        <v>2.19962396658957E-3</v>
      </c>
      <c r="H12" s="12">
        <v>0.22447516024112701</v>
      </c>
      <c r="I12" s="12">
        <v>2.5579116772860289E-3</v>
      </c>
      <c r="J12" s="12">
        <v>0.13581785559654236</v>
      </c>
      <c r="K12" s="12">
        <v>2.1688730921596289E-3</v>
      </c>
      <c r="L12" s="12">
        <v>4.3497961014509201E-2</v>
      </c>
      <c r="M12" s="12">
        <v>1.083509880118072E-3</v>
      </c>
      <c r="N12" s="12"/>
      <c r="O12" s="12">
        <v>0.34968668222427368</v>
      </c>
      <c r="P12" s="12">
        <v>4.8841331154108047E-3</v>
      </c>
      <c r="Q12" s="12">
        <v>0.25</v>
      </c>
      <c r="R12" s="12">
        <v>5.0606913864612579E-3</v>
      </c>
      <c r="S12" s="12">
        <v>0.26715391874313354</v>
      </c>
      <c r="T12" s="12">
        <v>0.45025420188903809</v>
      </c>
      <c r="U12" s="12">
        <v>0.19484236836433411</v>
      </c>
      <c r="V12" s="12">
        <v>4.8228730447590351E-3</v>
      </c>
      <c r="W12" s="12">
        <v>0.13257575035095215</v>
      </c>
      <c r="X12" s="12">
        <v>5.2898419089615345E-3</v>
      </c>
      <c r="Y12" s="12">
        <v>0.16485701501369476</v>
      </c>
      <c r="Z12" s="12">
        <v>0.16304346919059753</v>
      </c>
      <c r="AA12" s="12">
        <v>0.31212493777275085</v>
      </c>
      <c r="AB12" s="12">
        <v>3.609298262745142E-3</v>
      </c>
      <c r="AC12" s="12">
        <v>0.20000000298023224</v>
      </c>
      <c r="AD12" s="12">
        <v>3.9182691834867001E-3</v>
      </c>
      <c r="AE12" s="12">
        <v>0.25504741072654724</v>
      </c>
      <c r="AF12" s="12">
        <v>0.39552238583564758</v>
      </c>
    </row>
    <row r="13" spans="1:32" x14ac:dyDescent="0.3">
      <c r="A13">
        <v>2012</v>
      </c>
      <c r="B13" s="12">
        <v>0.23753789067268372</v>
      </c>
      <c r="C13" s="12">
        <v>3.0147326178848743E-3</v>
      </c>
      <c r="D13" s="12">
        <v>0.1963970959186554</v>
      </c>
      <c r="E13" s="12">
        <v>2.2618807852268219E-3</v>
      </c>
      <c r="F13" s="12">
        <v>0.16149616241455078</v>
      </c>
      <c r="G13" s="12">
        <v>2.4009763728827238E-3</v>
      </c>
      <c r="H13" s="12">
        <v>0.22865402698516846</v>
      </c>
      <c r="I13" s="12">
        <v>2.4461941793560982E-3</v>
      </c>
      <c r="J13" s="12">
        <v>0.13276457786560059</v>
      </c>
      <c r="K13" s="12">
        <v>2.0365258678793907E-3</v>
      </c>
      <c r="L13" s="12">
        <v>4.3150249868631363E-2</v>
      </c>
      <c r="M13" s="12">
        <v>1.2066353810951114E-3</v>
      </c>
      <c r="N13" s="12"/>
      <c r="O13" s="12">
        <v>0.33071637153625488</v>
      </c>
      <c r="P13" s="12">
        <v>4.0355999954044819E-3</v>
      </c>
      <c r="Q13" s="12">
        <v>0.24283374845981598</v>
      </c>
      <c r="R13" s="12">
        <v>7.1340836584568024E-3</v>
      </c>
      <c r="S13" s="12">
        <v>0.25793400406837463</v>
      </c>
      <c r="T13" s="12">
        <v>0.4050179123878479</v>
      </c>
      <c r="U13" s="12">
        <v>0.19903735816478729</v>
      </c>
      <c r="V13" s="12">
        <v>5.0156963989138603E-3</v>
      </c>
      <c r="W13" s="12">
        <v>0.13745866715908051</v>
      </c>
      <c r="X13" s="12">
        <v>5.1539670675992966E-3</v>
      </c>
      <c r="Y13" s="12">
        <v>0.17221552133560181</v>
      </c>
      <c r="Z13" s="12">
        <v>0.1666666567325592</v>
      </c>
      <c r="AA13" s="12">
        <v>0.29841673374176025</v>
      </c>
      <c r="AB13" s="12">
        <v>3.6040025297552347E-3</v>
      </c>
      <c r="AC13" s="12">
        <v>0.20000000298023224</v>
      </c>
      <c r="AD13" s="12">
        <v>1.6823546029627323E-3</v>
      </c>
      <c r="AE13" s="12">
        <v>0.24635025858879089</v>
      </c>
      <c r="AF13" s="12">
        <v>0.3545454740524292</v>
      </c>
    </row>
    <row r="14" spans="1:32" x14ac:dyDescent="0.3">
      <c r="A14">
        <v>2013</v>
      </c>
      <c r="B14" s="12">
        <v>0.22766603529453278</v>
      </c>
      <c r="C14" s="12">
        <v>2.4355784989893436E-3</v>
      </c>
      <c r="D14" s="12">
        <v>0.196280837059021</v>
      </c>
      <c r="E14" s="12">
        <v>2.3903322871774435E-3</v>
      </c>
      <c r="F14" s="12">
        <v>0.16747628152370453</v>
      </c>
      <c r="G14" s="12">
        <v>2.3471766617149115E-3</v>
      </c>
      <c r="H14" s="12">
        <v>0.23889942467212677</v>
      </c>
      <c r="I14" s="12">
        <v>2.5784790050238371E-3</v>
      </c>
      <c r="J14" s="12">
        <v>0.12850095331668854</v>
      </c>
      <c r="K14" s="12">
        <v>1.9717535469681025E-3</v>
      </c>
      <c r="L14" s="12">
        <v>4.117647185921669E-2</v>
      </c>
      <c r="M14" s="12">
        <v>1.2958520092070103E-3</v>
      </c>
      <c r="N14" s="12"/>
      <c r="O14" s="12">
        <v>0.32202264666557312</v>
      </c>
      <c r="P14" s="12">
        <v>3.7482194602489471E-3</v>
      </c>
      <c r="Q14" s="12">
        <v>0.22916370630264282</v>
      </c>
      <c r="R14" s="12">
        <v>7.7327131293714046E-3</v>
      </c>
      <c r="S14" s="12">
        <v>0.25508794188499451</v>
      </c>
      <c r="T14" s="12">
        <v>0.3888888955116272</v>
      </c>
      <c r="U14" s="12">
        <v>0.19025669991970062</v>
      </c>
      <c r="V14" s="12">
        <v>4.8194634728133678E-3</v>
      </c>
      <c r="W14" s="12">
        <v>0.1304347813129425</v>
      </c>
      <c r="X14" s="12">
        <v>4.2486810125410557E-3</v>
      </c>
      <c r="Y14" s="12">
        <v>0.15598534047603607</v>
      </c>
      <c r="Z14" s="12">
        <v>0.14505493640899658</v>
      </c>
      <c r="AA14" s="12">
        <v>0.2900463342666626</v>
      </c>
      <c r="AB14" s="12">
        <v>3.4971670247614384E-3</v>
      </c>
      <c r="AC14" s="12">
        <v>0.19230769574642181</v>
      </c>
      <c r="AD14" s="12">
        <v>6.2466221861541271E-3</v>
      </c>
      <c r="AE14" s="12">
        <v>0.24159391224384308</v>
      </c>
      <c r="AF14" s="12">
        <v>0.32857143878936768</v>
      </c>
    </row>
    <row r="19" spans="2:13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2:13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2:13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2:13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2:13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2:13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2:13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2:13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2:13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2:13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2:13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2:13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2:13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4">
    <mergeCell ref="AA2:AF2"/>
    <mergeCell ref="O1:AF1"/>
    <mergeCell ref="O2:T2"/>
    <mergeCell ref="U2:Z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13"/>
  <sheetViews>
    <sheetView workbookViewId="0">
      <selection activeCell="H26" sqref="H26"/>
    </sheetView>
  </sheetViews>
  <sheetFormatPr defaultColWidth="8.77734375" defaultRowHeight="14.4" x14ac:dyDescent="0.3"/>
  <sheetData>
    <row r="2" spans="1:21" x14ac:dyDescent="0.3">
      <c r="B2" t="s">
        <v>20</v>
      </c>
      <c r="D2" t="s">
        <v>21</v>
      </c>
      <c r="F2" t="s">
        <v>5</v>
      </c>
      <c r="H2" t="s">
        <v>4</v>
      </c>
      <c r="J2" t="s">
        <v>22</v>
      </c>
      <c r="L2" t="s">
        <v>23</v>
      </c>
      <c r="N2" t="s">
        <v>24</v>
      </c>
      <c r="P2" t="s">
        <v>25</v>
      </c>
      <c r="R2" t="s">
        <v>26</v>
      </c>
      <c r="T2" t="s">
        <v>27</v>
      </c>
    </row>
    <row r="3" spans="1:21" x14ac:dyDescent="0.3">
      <c r="A3">
        <v>2003</v>
      </c>
    </row>
    <row r="4" spans="1:21" x14ac:dyDescent="0.3">
      <c r="A4">
        <v>2004</v>
      </c>
      <c r="B4" s="15">
        <v>0.58556526899337769</v>
      </c>
      <c r="C4" s="15">
        <v>5.0118723884224892E-3</v>
      </c>
      <c r="D4" s="15">
        <v>0.49981895089149475</v>
      </c>
      <c r="E4" s="15">
        <v>5.7839341461658478E-3</v>
      </c>
      <c r="F4" s="15">
        <v>0.28374722599983215</v>
      </c>
      <c r="G4" s="15">
        <v>7.0159947499632835E-3</v>
      </c>
      <c r="H4" s="15">
        <v>8.0417230725288391E-2</v>
      </c>
      <c r="I4" s="15">
        <v>3.7958528846502304E-3</v>
      </c>
      <c r="J4" s="15">
        <v>0.42598968744277954</v>
      </c>
      <c r="K4" s="15">
        <v>6.9439350627362728E-3</v>
      </c>
      <c r="L4" s="15">
        <v>0.16859851777553558</v>
      </c>
      <c r="M4" s="15">
        <v>8.4064025431871414E-3</v>
      </c>
      <c r="N4" s="15">
        <v>0.36741924285888672</v>
      </c>
      <c r="O4" s="15">
        <v>4.5600072480738163E-3</v>
      </c>
      <c r="P4" s="15">
        <v>0.10220341384410858</v>
      </c>
      <c r="Q4" s="15">
        <v>4.0316297672688961E-3</v>
      </c>
      <c r="R4" s="15">
        <v>0.54802918434143066</v>
      </c>
      <c r="S4" s="15">
        <v>3.4730052575469017E-3</v>
      </c>
      <c r="T4" s="15">
        <v>0.40237811207771301</v>
      </c>
      <c r="U4" s="15">
        <v>2.4490782525390387E-3</v>
      </c>
    </row>
    <row r="5" spans="1:21" x14ac:dyDescent="0.3">
      <c r="A5">
        <v>2005</v>
      </c>
      <c r="B5" s="12">
        <v>0.59293490648269653</v>
      </c>
      <c r="C5" s="12">
        <v>4.8079872503876686E-3</v>
      </c>
      <c r="D5" s="12">
        <v>0.51353293657302856</v>
      </c>
      <c r="E5" s="12">
        <v>5.8527416549623013E-3</v>
      </c>
      <c r="F5" s="12">
        <v>0.29229727387428284</v>
      </c>
      <c r="G5" s="12">
        <v>6.3906833529472351E-3</v>
      </c>
      <c r="H5" s="12">
        <v>7.9662315547466278E-2</v>
      </c>
      <c r="I5" s="12">
        <v>3.0660941265523434E-3</v>
      </c>
      <c r="J5" s="12">
        <v>0.42789438366889954</v>
      </c>
      <c r="K5" s="12">
        <v>5.9450468979775906E-3</v>
      </c>
      <c r="L5" s="12">
        <v>0.18391421437263489</v>
      </c>
      <c r="M5" s="12">
        <v>8.3095943555235863E-3</v>
      </c>
      <c r="N5" s="12">
        <v>0.36981132626533508</v>
      </c>
      <c r="O5" s="12">
        <v>5.3096767514944077E-3</v>
      </c>
      <c r="P5" s="12">
        <v>0.10428804159164429</v>
      </c>
      <c r="Q5" s="12">
        <v>3.2891593873500824E-3</v>
      </c>
      <c r="R5" s="12">
        <v>0.55854123830795288</v>
      </c>
      <c r="S5" s="12">
        <v>3.4228558652102947E-3</v>
      </c>
      <c r="T5" s="12">
        <v>0.40540400147438049</v>
      </c>
      <c r="U5" s="12">
        <v>2.5362106971442699E-3</v>
      </c>
    </row>
    <row r="6" spans="1:21" x14ac:dyDescent="0.3">
      <c r="A6">
        <v>2006</v>
      </c>
      <c r="B6" s="12">
        <v>0.60631513595581055</v>
      </c>
      <c r="C6" s="12">
        <v>5.2951476536691189E-3</v>
      </c>
      <c r="D6" s="12">
        <v>0.5339130163192749</v>
      </c>
      <c r="E6" s="12">
        <v>5.7783643715083599E-3</v>
      </c>
      <c r="F6" s="12">
        <v>0.28806790709495544</v>
      </c>
      <c r="G6" s="12">
        <v>7.0520802401006222E-3</v>
      </c>
      <c r="H6" s="12">
        <v>9.115687757730484E-2</v>
      </c>
      <c r="I6" s="12">
        <v>3.7470585666596889E-3</v>
      </c>
      <c r="J6" s="12">
        <v>0.43153288960456848</v>
      </c>
      <c r="K6" s="12">
        <v>7.0319520309567451E-3</v>
      </c>
      <c r="L6" s="12">
        <v>0.21029572188854218</v>
      </c>
      <c r="M6" s="12">
        <v>9.7016282379627228E-3</v>
      </c>
      <c r="N6" s="12">
        <v>0.36949482560157776</v>
      </c>
      <c r="O6" s="12">
        <v>4.7545144334435463E-3</v>
      </c>
      <c r="P6" s="12">
        <v>0.1184103786945343</v>
      </c>
      <c r="Q6" s="12">
        <v>3.8515857886523008E-3</v>
      </c>
      <c r="R6" s="12">
        <v>0.57513254880905151</v>
      </c>
      <c r="S6" s="12">
        <v>3.9648669771850109E-3</v>
      </c>
      <c r="T6" s="12">
        <v>0.40926498174667358</v>
      </c>
      <c r="U6" s="12">
        <v>2.9266001656651497E-3</v>
      </c>
    </row>
    <row r="7" spans="1:21" x14ac:dyDescent="0.3">
      <c r="A7">
        <v>2007</v>
      </c>
      <c r="B7" s="12">
        <v>0.62971639633178711</v>
      </c>
      <c r="C7" s="12">
        <v>4.637567326426506E-3</v>
      </c>
      <c r="D7" s="12">
        <v>0.55444920063018799</v>
      </c>
      <c r="E7" s="12">
        <v>5.6200204417109489E-3</v>
      </c>
      <c r="F7" s="12">
        <v>0.28529569506645203</v>
      </c>
      <c r="G7" s="12">
        <v>7.592423353344202E-3</v>
      </c>
      <c r="H7" s="12">
        <v>9.9118940532207489E-2</v>
      </c>
      <c r="I7" s="12">
        <v>3.7432701792567968E-3</v>
      </c>
      <c r="J7" s="12">
        <v>0.46597760915756226</v>
      </c>
      <c r="K7" s="12">
        <v>7.2921542450785637E-3</v>
      </c>
      <c r="L7" s="12">
        <v>0.24027177691459656</v>
      </c>
      <c r="M7" s="12">
        <v>1.0124433785676956E-2</v>
      </c>
      <c r="N7" s="12">
        <v>0.38521075248718262</v>
      </c>
      <c r="O7" s="12">
        <v>5.0671943463385105E-3</v>
      </c>
      <c r="P7" s="12">
        <v>0.1314644068479538</v>
      </c>
      <c r="Q7" s="12">
        <v>3.7657024804502726E-3</v>
      </c>
      <c r="R7" s="12">
        <v>0.59673064947128296</v>
      </c>
      <c r="S7" s="12">
        <v>4.1274870745837688E-3</v>
      </c>
      <c r="T7" s="12">
        <v>0.42017161846160889</v>
      </c>
      <c r="U7" s="12">
        <v>2.7314370963722467E-3</v>
      </c>
    </row>
    <row r="8" spans="1:21" x14ac:dyDescent="0.3">
      <c r="A8">
        <v>2008</v>
      </c>
      <c r="B8" s="12">
        <v>0.66017287969589233</v>
      </c>
      <c r="C8" s="12">
        <v>5.0450647249817848E-3</v>
      </c>
      <c r="D8" s="12">
        <v>0.57667970657348633</v>
      </c>
      <c r="E8" s="12">
        <v>6.5630478784441948E-3</v>
      </c>
      <c r="F8" s="12">
        <v>0.30191081762313843</v>
      </c>
      <c r="G8" s="12">
        <v>7.0766210556030273E-3</v>
      </c>
      <c r="H8" s="12">
        <v>0.11846417933702469</v>
      </c>
      <c r="I8" s="12">
        <v>3.9860340766608715E-3</v>
      </c>
      <c r="J8" s="12">
        <v>0.48240438103675842</v>
      </c>
      <c r="K8" s="12">
        <v>7.8784190118312836E-3</v>
      </c>
      <c r="L8" s="12">
        <v>0.26489636301994324</v>
      </c>
      <c r="M8" s="12">
        <v>1.111019030213356E-2</v>
      </c>
      <c r="N8" s="12">
        <v>0.39905881881713867</v>
      </c>
      <c r="O8" s="12">
        <v>5.2352398633956909E-3</v>
      </c>
      <c r="P8" s="12">
        <v>0.14777722954750061</v>
      </c>
      <c r="Q8" s="12">
        <v>3.5955908242613077E-3</v>
      </c>
      <c r="R8" s="12">
        <v>0.62285369634628296</v>
      </c>
      <c r="S8" s="12">
        <v>4.0385723114013672E-3</v>
      </c>
      <c r="T8" s="12">
        <v>0.43920224905014038</v>
      </c>
      <c r="U8" s="12">
        <v>2.9196699615567923E-3</v>
      </c>
    </row>
    <row r="9" spans="1:21" x14ac:dyDescent="0.3">
      <c r="A9">
        <v>2009</v>
      </c>
      <c r="B9" s="12">
        <v>0.68105041980743408</v>
      </c>
      <c r="C9" s="12">
        <v>5.1184804178774357E-3</v>
      </c>
      <c r="D9" s="12">
        <v>0.58254683017730713</v>
      </c>
      <c r="E9" s="12">
        <v>5.9903915971517563E-3</v>
      </c>
      <c r="F9" s="12">
        <v>0.31884753704071045</v>
      </c>
      <c r="G9" s="12">
        <v>6.525297649204731E-3</v>
      </c>
      <c r="H9" s="12">
        <v>0.11713665723800659</v>
      </c>
      <c r="I9" s="12">
        <v>3.8556451909244061E-3</v>
      </c>
      <c r="J9" s="12">
        <v>0.47913861274719238</v>
      </c>
      <c r="K9" s="12">
        <v>7.336366456001997E-3</v>
      </c>
      <c r="L9" s="12">
        <v>0.23503965139389038</v>
      </c>
      <c r="M9" s="12">
        <v>1.0963393375277519E-2</v>
      </c>
      <c r="N9" s="12">
        <v>0.40171635150909424</v>
      </c>
      <c r="O9" s="12">
        <v>4.5468653552234173E-3</v>
      </c>
      <c r="P9" s="12">
        <v>0.13876543939113617</v>
      </c>
      <c r="Q9" s="12">
        <v>3.9689256809651852E-3</v>
      </c>
      <c r="R9" s="12">
        <v>0.63570970296859741</v>
      </c>
      <c r="S9" s="12">
        <v>4.0533696301281452E-3</v>
      </c>
      <c r="T9" s="12">
        <v>0.43927967548370361</v>
      </c>
      <c r="U9" s="12">
        <v>2.7546652127057314E-3</v>
      </c>
    </row>
    <row r="10" spans="1:21" x14ac:dyDescent="0.3">
      <c r="A10">
        <v>2010</v>
      </c>
      <c r="B10" s="12">
        <v>0.7063291072845459</v>
      </c>
      <c r="C10" s="12">
        <v>4.3791681528091431E-3</v>
      </c>
      <c r="D10" s="12">
        <v>0.59341526031494141</v>
      </c>
      <c r="E10" s="12">
        <v>6.2381867319345474E-3</v>
      </c>
      <c r="F10" s="12">
        <v>0.32165318727493286</v>
      </c>
      <c r="G10" s="12">
        <v>7.3196538724005222E-3</v>
      </c>
      <c r="H10" s="12">
        <v>0.13285242021083832</v>
      </c>
      <c r="I10" s="12">
        <v>4.5283357612788677E-3</v>
      </c>
      <c r="J10" s="12">
        <v>0.50935602188110352</v>
      </c>
      <c r="K10" s="12">
        <v>7.6099014841020107E-3</v>
      </c>
      <c r="L10" s="12">
        <v>0.24453841149806976</v>
      </c>
      <c r="M10" s="12">
        <v>1.1400572024285793E-2</v>
      </c>
      <c r="N10" s="12">
        <v>0.41181278228759766</v>
      </c>
      <c r="O10" s="12">
        <v>5.5280881933867931E-3</v>
      </c>
      <c r="P10" s="12">
        <v>0.15379087626934052</v>
      </c>
      <c r="Q10" s="12">
        <v>4.0657217614352703E-3</v>
      </c>
      <c r="R10" s="12">
        <v>0.65458744764328003</v>
      </c>
      <c r="S10" s="12">
        <v>4.5131542719900608E-3</v>
      </c>
      <c r="T10" s="12">
        <v>0.45110338926315308</v>
      </c>
      <c r="U10" s="12">
        <v>2.5915824808180332E-3</v>
      </c>
    </row>
    <row r="11" spans="1:21" x14ac:dyDescent="0.3">
      <c r="A11">
        <v>2011</v>
      </c>
      <c r="B11" s="12">
        <v>0.71626460552215576</v>
      </c>
      <c r="C11" s="12">
        <v>5.2062757313251495E-3</v>
      </c>
      <c r="D11" s="12">
        <v>0.58541625738143921</v>
      </c>
      <c r="E11" s="12">
        <v>5.375618115067482E-3</v>
      </c>
      <c r="F11" s="12">
        <v>0.320474773645401</v>
      </c>
      <c r="G11" s="12">
        <v>7.5599914416670799E-3</v>
      </c>
      <c r="H11" s="12">
        <v>0.14859437942504883</v>
      </c>
      <c r="I11" s="12">
        <v>4.3967007659375668E-3</v>
      </c>
      <c r="J11" s="12">
        <v>0.51431751251220703</v>
      </c>
      <c r="K11" s="12">
        <v>7.7049760147929192E-3</v>
      </c>
      <c r="L11" s="12">
        <v>0.2803819477558136</v>
      </c>
      <c r="M11" s="12">
        <v>1.3330697081983089E-2</v>
      </c>
      <c r="N11" s="12">
        <v>0.4117262065410614</v>
      </c>
      <c r="O11" s="12">
        <v>5.9131905436515808E-3</v>
      </c>
      <c r="P11" s="12">
        <v>0.16993094980716705</v>
      </c>
      <c r="Q11" s="12">
        <v>4.8476303927600384E-3</v>
      </c>
      <c r="R11" s="12">
        <v>0.65698963403701782</v>
      </c>
      <c r="S11" s="12">
        <v>4.3405462056398392E-3</v>
      </c>
      <c r="T11" s="12">
        <v>0.45570909976959229</v>
      </c>
      <c r="U11" s="12">
        <v>2.9397064354270697E-3</v>
      </c>
    </row>
    <row r="12" spans="1:21" x14ac:dyDescent="0.3">
      <c r="A12">
        <v>2012</v>
      </c>
      <c r="B12" s="12">
        <v>0.72736716270446777</v>
      </c>
      <c r="C12" s="12">
        <v>5.1943748258054256E-3</v>
      </c>
      <c r="D12" s="12">
        <v>0.61586791276931763</v>
      </c>
      <c r="E12" s="12">
        <v>6.6911107860505581E-3</v>
      </c>
      <c r="F12" s="12">
        <v>0.34359309077262878</v>
      </c>
      <c r="G12" s="12">
        <v>6.4048357307910919E-3</v>
      </c>
      <c r="H12" s="12">
        <v>0.15710602700710297</v>
      </c>
      <c r="I12" s="12">
        <v>4.7440491616725922E-3</v>
      </c>
      <c r="J12" s="12">
        <v>0.5446096658706665</v>
      </c>
      <c r="K12" s="12">
        <v>7.9350294545292854E-3</v>
      </c>
      <c r="L12" s="12">
        <v>0.29493463039398193</v>
      </c>
      <c r="M12" s="12">
        <v>1.492344681173563E-2</v>
      </c>
      <c r="N12" s="12">
        <v>0.43428775668144226</v>
      </c>
      <c r="O12" s="12">
        <v>5.4199583828449249E-3</v>
      </c>
      <c r="P12" s="12">
        <v>0.18119326233863831</v>
      </c>
      <c r="Q12" s="12">
        <v>4.7771190293133259E-3</v>
      </c>
      <c r="R12" s="12">
        <v>0.67690306901931763</v>
      </c>
      <c r="S12" s="12">
        <v>3.9914781227707863E-3</v>
      </c>
      <c r="T12" s="12">
        <v>0.47077485918998718</v>
      </c>
      <c r="U12" s="12">
        <v>3.236833494156599E-3</v>
      </c>
    </row>
    <row r="13" spans="1:21" x14ac:dyDescent="0.3">
      <c r="A13">
        <v>2013</v>
      </c>
      <c r="B13" s="12">
        <v>0.74912482500076294</v>
      </c>
      <c r="C13" s="12">
        <v>5.9038070030510426E-3</v>
      </c>
      <c r="D13" s="12">
        <v>0.63592422008514404</v>
      </c>
      <c r="E13" s="12">
        <v>6.5524936653673649E-3</v>
      </c>
      <c r="F13" s="12">
        <v>0.36551100015640259</v>
      </c>
      <c r="G13" s="12">
        <v>7.060506846755743E-3</v>
      </c>
      <c r="H13" s="12">
        <v>0.16953073441982269</v>
      </c>
      <c r="I13" s="12">
        <v>4.9539352767169476E-3</v>
      </c>
      <c r="J13" s="12">
        <v>0.56585943698883057</v>
      </c>
      <c r="K13" s="12">
        <v>9.2881312593817711E-3</v>
      </c>
      <c r="L13" s="12">
        <v>0.31428572535514832</v>
      </c>
      <c r="M13" s="12">
        <v>1.3952017761766911E-2</v>
      </c>
      <c r="N13" s="12">
        <v>0.45249390602111816</v>
      </c>
      <c r="O13" s="12">
        <v>5.109013058245182E-3</v>
      </c>
      <c r="P13" s="12">
        <v>0.19200542569160461</v>
      </c>
      <c r="Q13" s="12">
        <v>4.3057193979620934E-3</v>
      </c>
      <c r="R13" s="12">
        <v>0.69671469926834106</v>
      </c>
      <c r="S13" s="12">
        <v>4.2611099779605865E-3</v>
      </c>
      <c r="T13" s="12">
        <v>0.48307400941848755</v>
      </c>
      <c r="U13" s="12">
        <v>3.4545473754405975E-3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13"/>
  <sheetViews>
    <sheetView workbookViewId="0">
      <selection activeCell="H26" sqref="H26"/>
    </sheetView>
  </sheetViews>
  <sheetFormatPr defaultColWidth="8.77734375" defaultRowHeight="14.4" x14ac:dyDescent="0.3"/>
  <sheetData>
    <row r="2" spans="1:21" x14ac:dyDescent="0.3">
      <c r="B2" t="s">
        <v>20</v>
      </c>
      <c r="D2" t="s">
        <v>21</v>
      </c>
      <c r="F2" t="s">
        <v>5</v>
      </c>
      <c r="H2" t="s">
        <v>4</v>
      </c>
      <c r="J2" t="s">
        <v>22</v>
      </c>
      <c r="L2" t="s">
        <v>23</v>
      </c>
      <c r="N2" t="s">
        <v>24</v>
      </c>
      <c r="P2" t="s">
        <v>25</v>
      </c>
      <c r="R2" t="s">
        <v>26</v>
      </c>
      <c r="T2" t="s">
        <v>27</v>
      </c>
    </row>
    <row r="3" spans="1:21" x14ac:dyDescent="0.3">
      <c r="A3">
        <v>2003</v>
      </c>
    </row>
    <row r="4" spans="1:21" x14ac:dyDescent="0.3">
      <c r="A4">
        <v>2004</v>
      </c>
      <c r="B4" s="15">
        <v>0.4203886091709137</v>
      </c>
      <c r="C4" s="15">
        <v>3.7138001061975956E-3</v>
      </c>
      <c r="D4" s="15">
        <v>0.27938199043273926</v>
      </c>
      <c r="E4" s="15">
        <v>3.9402665570378304E-3</v>
      </c>
      <c r="F4" s="15">
        <v>7.7857241034507751E-2</v>
      </c>
      <c r="G4" s="15">
        <v>2.2192662581801414E-3</v>
      </c>
      <c r="H4" s="15">
        <v>3.2249357551336288E-2</v>
      </c>
      <c r="I4" s="15">
        <v>1.4146693283692002E-3</v>
      </c>
      <c r="J4" s="15">
        <v>0.16698151826858521</v>
      </c>
      <c r="K4" s="15">
        <v>3.9402665570378304E-3</v>
      </c>
      <c r="L4" s="15">
        <v>2.1589528769254684E-2</v>
      </c>
      <c r="M4" s="15">
        <v>1.136500621214509E-3</v>
      </c>
      <c r="N4" s="15">
        <v>0.24483875930309296</v>
      </c>
      <c r="O4" s="15">
        <v>3.8260421715676785E-3</v>
      </c>
      <c r="P4" s="15">
        <v>5.5390637367963791E-2</v>
      </c>
      <c r="Q4" s="15">
        <v>1.5775829087942839E-3</v>
      </c>
      <c r="R4" s="15">
        <v>0.69977062940597534</v>
      </c>
      <c r="S4" s="15">
        <v>3.6612574476748705E-3</v>
      </c>
      <c r="T4" s="15">
        <v>0.40237811207771301</v>
      </c>
      <c r="U4" s="15">
        <v>2.5053357239812613E-3</v>
      </c>
    </row>
    <row r="5" spans="1:21" x14ac:dyDescent="0.3">
      <c r="A5">
        <v>2005</v>
      </c>
      <c r="B5" s="12">
        <v>0.41843193769454956</v>
      </c>
      <c r="C5" s="12">
        <v>3.8361707702279091E-3</v>
      </c>
      <c r="D5" s="12">
        <v>0.27693101763725281</v>
      </c>
      <c r="E5" s="12">
        <v>3.568592481315136E-3</v>
      </c>
      <c r="F5" s="12">
        <v>8.3570137619972229E-2</v>
      </c>
      <c r="G5" s="12">
        <v>2.1509754005819559E-3</v>
      </c>
      <c r="H5" s="12">
        <v>3.3518470823764801E-2</v>
      </c>
      <c r="I5" s="12">
        <v>1.3864045031368732E-3</v>
      </c>
      <c r="J5" s="12">
        <v>0.16326530277729034</v>
      </c>
      <c r="K5" s="12">
        <v>3.568592481315136E-3</v>
      </c>
      <c r="L5" s="12">
        <v>2.2151898592710495E-2</v>
      </c>
      <c r="M5" s="12">
        <v>1.2219941709190607E-3</v>
      </c>
      <c r="N5" s="12">
        <v>0.24683544039726257</v>
      </c>
      <c r="O5" s="12">
        <v>3.532931674271822E-3</v>
      </c>
      <c r="P5" s="12">
        <v>5.780160054564476E-2</v>
      </c>
      <c r="Q5" s="12">
        <v>1.9804381299763918E-3</v>
      </c>
      <c r="R5" s="12">
        <v>0.69536292552947998</v>
      </c>
      <c r="S5" s="12">
        <v>3.9424565620720387E-3</v>
      </c>
      <c r="T5" s="12">
        <v>0.40540400147438049</v>
      </c>
      <c r="U5" s="12">
        <v>2.5941478088498116E-3</v>
      </c>
    </row>
    <row r="6" spans="1:21" x14ac:dyDescent="0.3">
      <c r="A6">
        <v>2006</v>
      </c>
      <c r="B6" s="12">
        <v>0.41526305675506592</v>
      </c>
      <c r="C6" s="12">
        <v>4.0797693654894829E-3</v>
      </c>
      <c r="D6" s="12">
        <v>0.2766340970993042</v>
      </c>
      <c r="E6" s="12">
        <v>4.0533905848860741E-3</v>
      </c>
      <c r="F6" s="12">
        <v>7.9988911747932434E-2</v>
      </c>
      <c r="G6" s="12">
        <v>2.3798528127372265E-3</v>
      </c>
      <c r="H6" s="12">
        <v>4.1727315634489059E-2</v>
      </c>
      <c r="I6" s="12">
        <v>1.6580554656684399E-3</v>
      </c>
      <c r="J6" s="12">
        <v>0.15727455914020538</v>
      </c>
      <c r="K6" s="12">
        <v>4.0533905848860741E-3</v>
      </c>
      <c r="L6" s="12">
        <v>2.6616759598255157E-2</v>
      </c>
      <c r="M6" s="12">
        <v>1.4397922204807401E-3</v>
      </c>
      <c r="N6" s="12">
        <v>0.23726347088813782</v>
      </c>
      <c r="O6" s="12">
        <v>3.5439510829746723E-3</v>
      </c>
      <c r="P6" s="12">
        <v>7.0839397609233856E-2</v>
      </c>
      <c r="Q6" s="12">
        <v>1.8788394518196583E-3</v>
      </c>
      <c r="R6" s="12">
        <v>0.69189715385437012</v>
      </c>
      <c r="S6" s="12">
        <v>3.5834156442433596E-3</v>
      </c>
      <c r="T6" s="12">
        <v>0.40926498174667358</v>
      </c>
      <c r="U6" s="12">
        <v>2.6193060912191868E-3</v>
      </c>
    </row>
    <row r="7" spans="1:21" x14ac:dyDescent="0.3">
      <c r="A7">
        <v>2007</v>
      </c>
      <c r="B7" s="12">
        <v>0.39659857749938965</v>
      </c>
      <c r="C7" s="12">
        <v>4.1935392655432224E-3</v>
      </c>
      <c r="D7" s="12">
        <v>0.27242371439933777</v>
      </c>
      <c r="E7" s="12">
        <v>4.1284249164164066E-3</v>
      </c>
      <c r="F7" s="12">
        <v>8.3171546459197998E-2</v>
      </c>
      <c r="G7" s="12">
        <v>2.3108592722564936E-3</v>
      </c>
      <c r="H7" s="12">
        <v>4.5429836958646774E-2</v>
      </c>
      <c r="I7" s="12">
        <v>1.7185226315632463E-3</v>
      </c>
      <c r="J7" s="12">
        <v>0.16805157065391541</v>
      </c>
      <c r="K7" s="12">
        <v>4.1284249164164066E-3</v>
      </c>
      <c r="L7" s="12">
        <v>3.0208898708224297E-2</v>
      </c>
      <c r="M7" s="12">
        <v>1.526058535091579E-3</v>
      </c>
      <c r="N7" s="12">
        <v>0.2512231171131134</v>
      </c>
      <c r="O7" s="12">
        <v>3.5085233394056559E-3</v>
      </c>
      <c r="P7" s="12">
        <v>7.9754598438739777E-2</v>
      </c>
      <c r="Q7" s="12">
        <v>2.3382205981761217E-3</v>
      </c>
      <c r="R7" s="12">
        <v>0.66902226209640503</v>
      </c>
      <c r="S7" s="12">
        <v>4.1487449780106544E-3</v>
      </c>
      <c r="T7" s="12">
        <v>0.42017161846160889</v>
      </c>
      <c r="U7" s="12">
        <v>2.9728265944868326E-3</v>
      </c>
    </row>
    <row r="8" spans="1:21" x14ac:dyDescent="0.3">
      <c r="A8">
        <v>2008</v>
      </c>
      <c r="B8" s="12">
        <v>0.39142361283302307</v>
      </c>
      <c r="C8" s="12">
        <v>4.3349661864340305E-3</v>
      </c>
      <c r="D8" s="12">
        <v>0.2763499915599823</v>
      </c>
      <c r="E8" s="12">
        <v>4.0205633267760277E-3</v>
      </c>
      <c r="F8" s="12">
        <v>8.5547216236591339E-2</v>
      </c>
      <c r="G8" s="12">
        <v>2.4554214905947447E-3</v>
      </c>
      <c r="H8" s="12">
        <v>5.4793532937765121E-2</v>
      </c>
      <c r="I8" s="12">
        <v>1.8422899302095175E-3</v>
      </c>
      <c r="J8" s="12">
        <v>0.1593271791934967</v>
      </c>
      <c r="K8" s="12">
        <v>4.0205633267760277E-3</v>
      </c>
      <c r="L8" s="12">
        <v>2.9526421800255775E-2</v>
      </c>
      <c r="M8" s="12">
        <v>1.5118042938411236E-3</v>
      </c>
      <c r="N8" s="12">
        <v>0.24487438797950745</v>
      </c>
      <c r="O8" s="12">
        <v>3.4966263920068741E-3</v>
      </c>
      <c r="P8" s="12">
        <v>8.7352007627487183E-2</v>
      </c>
      <c r="Q8" s="12">
        <v>2.3316317237913609E-3</v>
      </c>
      <c r="R8" s="12">
        <v>0.66777360439300537</v>
      </c>
      <c r="S8" s="12">
        <v>3.9087557233870029E-3</v>
      </c>
      <c r="T8" s="12">
        <v>0.43920224905014038</v>
      </c>
      <c r="U8" s="12">
        <v>2.8330441564321518E-3</v>
      </c>
    </row>
    <row r="9" spans="1:21" x14ac:dyDescent="0.3">
      <c r="A9">
        <v>2009</v>
      </c>
      <c r="B9" s="12">
        <v>0.38190025091171265</v>
      </c>
      <c r="C9" s="12">
        <v>4.5946519821882248E-3</v>
      </c>
      <c r="D9" s="12">
        <v>0.27859997749328613</v>
      </c>
      <c r="E9" s="12">
        <v>4.0203658863902092E-3</v>
      </c>
      <c r="F9" s="12">
        <v>9.8268464207649231E-2</v>
      </c>
      <c r="G9" s="12">
        <v>2.6368317194283009E-3</v>
      </c>
      <c r="H9" s="12">
        <v>5.5941987782716751E-2</v>
      </c>
      <c r="I9" s="12">
        <v>2.0785888191312551E-3</v>
      </c>
      <c r="J9" s="12">
        <v>0.15805831551551819</v>
      </c>
      <c r="K9" s="12">
        <v>4.0203658863902092E-3</v>
      </c>
      <c r="L9" s="12">
        <v>2.4123132228851318E-2</v>
      </c>
      <c r="M9" s="12">
        <v>1.3436655281111598E-3</v>
      </c>
      <c r="N9" s="12">
        <v>0.25632676482200623</v>
      </c>
      <c r="O9" s="12">
        <v>3.6624772474169731E-3</v>
      </c>
      <c r="P9" s="12">
        <v>8.3173006772994995E-2</v>
      </c>
      <c r="Q9" s="12">
        <v>2.4345433339476585E-3</v>
      </c>
      <c r="R9" s="12">
        <v>0.66050022840499878</v>
      </c>
      <c r="S9" s="12">
        <v>3.9849048480391502E-3</v>
      </c>
      <c r="T9" s="12">
        <v>0.43927967548370361</v>
      </c>
      <c r="U9" s="12">
        <v>2.823749091476202E-3</v>
      </c>
    </row>
    <row r="10" spans="1:21" x14ac:dyDescent="0.3">
      <c r="A10">
        <v>2010</v>
      </c>
      <c r="B10" s="12">
        <v>0.38191643357276917</v>
      </c>
      <c r="C10" s="12">
        <v>4.3017594143748283E-3</v>
      </c>
      <c r="D10" s="12">
        <v>0.27139768004417419</v>
      </c>
      <c r="E10" s="12">
        <v>3.9204764179885387E-3</v>
      </c>
      <c r="F10" s="12">
        <v>0.10317002981901169</v>
      </c>
      <c r="G10" s="12">
        <v>2.8597863856703043E-3</v>
      </c>
      <c r="H10" s="12">
        <v>6.3688762485980988E-2</v>
      </c>
      <c r="I10" s="12">
        <v>2.0852710586041212E-3</v>
      </c>
      <c r="J10" s="12">
        <v>0.15100865066051483</v>
      </c>
      <c r="K10" s="12">
        <v>3.9204764179885387E-3</v>
      </c>
      <c r="L10" s="12">
        <v>2.500000037252903E-2</v>
      </c>
      <c r="M10" s="12">
        <v>1.4874751213937998E-3</v>
      </c>
      <c r="N10" s="12">
        <v>0.25417867302894592</v>
      </c>
      <c r="O10" s="12">
        <v>3.797370009124279E-3</v>
      </c>
      <c r="P10" s="12">
        <v>9.2507205903530121E-2</v>
      </c>
      <c r="Q10" s="12">
        <v>2.414332702755928E-3</v>
      </c>
      <c r="R10" s="12">
        <v>0.65331411361694336</v>
      </c>
      <c r="S10" s="12">
        <v>4.2635067366063595E-3</v>
      </c>
      <c r="T10" s="12">
        <v>0.45110338926315308</v>
      </c>
      <c r="U10" s="12">
        <v>2.5643105618655682E-3</v>
      </c>
    </row>
    <row r="11" spans="1:21" x14ac:dyDescent="0.3">
      <c r="A11">
        <v>2011</v>
      </c>
      <c r="B11" s="12">
        <v>0.38130748271942139</v>
      </c>
      <c r="C11" s="12">
        <v>4.7855316661298275E-3</v>
      </c>
      <c r="D11" s="12">
        <v>0.2580992579460144</v>
      </c>
      <c r="E11" s="12">
        <v>3.8469734136015177E-3</v>
      </c>
      <c r="F11" s="12">
        <v>0.10738255083560944</v>
      </c>
      <c r="G11" s="12">
        <v>2.6425945106893778E-3</v>
      </c>
      <c r="H11" s="12">
        <v>7.0511229336261749E-2</v>
      </c>
      <c r="I11" s="12">
        <v>2.4143068585544825E-3</v>
      </c>
      <c r="J11" s="12">
        <v>0.15328527987003326</v>
      </c>
      <c r="K11" s="12">
        <v>3.8469734136015177E-3</v>
      </c>
      <c r="L11" s="12">
        <v>2.6762779802083969E-2</v>
      </c>
      <c r="M11" s="12">
        <v>1.5289245638996363E-3</v>
      </c>
      <c r="N11" s="12">
        <v>0.2606678307056427</v>
      </c>
      <c r="O11" s="12">
        <v>3.7642826791852713E-3</v>
      </c>
      <c r="P11" s="12">
        <v>9.9925428628921509E-2</v>
      </c>
      <c r="Q11" s="12">
        <v>2.406200161203742E-3</v>
      </c>
      <c r="R11" s="12">
        <v>0.63940674066543579</v>
      </c>
      <c r="S11" s="12">
        <v>4.9084066413342953E-3</v>
      </c>
      <c r="T11" s="12">
        <v>0.45570909976959229</v>
      </c>
      <c r="U11" s="12">
        <v>3.0982829630374908E-3</v>
      </c>
    </row>
    <row r="12" spans="1:21" x14ac:dyDescent="0.3">
      <c r="A12">
        <v>2012</v>
      </c>
      <c r="B12" s="12">
        <v>0.36700615286827087</v>
      </c>
      <c r="C12" s="12">
        <v>4.7140652313828468E-3</v>
      </c>
      <c r="D12" s="12">
        <v>0.2569267749786377</v>
      </c>
      <c r="E12" s="12">
        <v>3.5192463546991348E-3</v>
      </c>
      <c r="F12" s="12">
        <v>0.11786730587482452</v>
      </c>
      <c r="G12" s="12">
        <v>2.9538704548031092E-3</v>
      </c>
      <c r="H12" s="12">
        <v>7.3011830449104309E-2</v>
      </c>
      <c r="I12" s="12">
        <v>2.3666112683713436E-3</v>
      </c>
      <c r="J12" s="12">
        <v>0.15358693897724152</v>
      </c>
      <c r="K12" s="12">
        <v>3.5192463546991348E-3</v>
      </c>
      <c r="L12" s="12">
        <v>2.7033098042011261E-2</v>
      </c>
      <c r="M12" s="12">
        <v>1.4364318922162056E-3</v>
      </c>
      <c r="N12" s="12">
        <v>0.27145424485206604</v>
      </c>
      <c r="O12" s="12">
        <v>3.9586429484188557E-3</v>
      </c>
      <c r="P12" s="12">
        <v>0.10461284965276718</v>
      </c>
      <c r="Q12" s="12">
        <v>2.5878085289150476E-3</v>
      </c>
      <c r="R12" s="12">
        <v>0.62393289804458618</v>
      </c>
      <c r="S12" s="12">
        <v>3.962246235460043E-3</v>
      </c>
      <c r="T12" s="12">
        <v>0.47077485918998718</v>
      </c>
      <c r="U12" s="12">
        <v>3.272160654887557E-3</v>
      </c>
    </row>
    <row r="13" spans="1:21" x14ac:dyDescent="0.3">
      <c r="A13">
        <v>2013</v>
      </c>
      <c r="B13" s="12">
        <v>0.35305207967758179</v>
      </c>
      <c r="C13" s="12">
        <v>4.4068899005651474E-3</v>
      </c>
      <c r="D13" s="12">
        <v>0.25838637351989746</v>
      </c>
      <c r="E13" s="12">
        <v>4.042075015604496E-3</v>
      </c>
      <c r="F13" s="12">
        <v>0.12671852111816406</v>
      </c>
      <c r="G13" s="12">
        <v>2.9140373226255178E-3</v>
      </c>
      <c r="H13" s="12">
        <v>8.0603346228599548E-2</v>
      </c>
      <c r="I13" s="12">
        <v>2.50865682028234E-3</v>
      </c>
      <c r="J13" s="12">
        <v>0.15052242577075958</v>
      </c>
      <c r="K13" s="12">
        <v>4.042075015604496E-3</v>
      </c>
      <c r="L13" s="12">
        <v>2.6789221912622452E-2</v>
      </c>
      <c r="M13" s="12">
        <v>1.4034210471436381E-3</v>
      </c>
      <c r="N13" s="12">
        <v>0.27724093198776245</v>
      </c>
      <c r="O13" s="12">
        <v>4.0019103325903416E-3</v>
      </c>
      <c r="P13" s="12">
        <v>0.1113206073641777</v>
      </c>
      <c r="Q13" s="12">
        <v>2.6166611351072788E-3</v>
      </c>
      <c r="R13" s="12">
        <v>0.61143845319747925</v>
      </c>
      <c r="S13" s="12">
        <v>4.1485424153506756E-3</v>
      </c>
      <c r="T13" s="12">
        <v>0.48307400941848755</v>
      </c>
      <c r="U13" s="12">
        <v>3.1024354975670576E-3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U13"/>
  <sheetViews>
    <sheetView workbookViewId="0">
      <selection activeCell="H22" sqref="H22"/>
    </sheetView>
  </sheetViews>
  <sheetFormatPr defaultColWidth="8.77734375" defaultRowHeight="14.4" x14ac:dyDescent="0.3"/>
  <sheetData>
    <row r="2" spans="1:21" x14ac:dyDescent="0.3">
      <c r="B2" t="s">
        <v>20</v>
      </c>
      <c r="D2" t="s">
        <v>21</v>
      </c>
      <c r="F2" t="s">
        <v>5</v>
      </c>
      <c r="H2" t="s">
        <v>4</v>
      </c>
      <c r="J2" t="s">
        <v>22</v>
      </c>
      <c r="L2" t="s">
        <v>23</v>
      </c>
      <c r="N2" t="s">
        <v>24</v>
      </c>
      <c r="P2" t="s">
        <v>25</v>
      </c>
      <c r="R2" t="s">
        <v>26</v>
      </c>
      <c r="T2" t="s">
        <v>27</v>
      </c>
    </row>
    <row r="3" spans="1:21" x14ac:dyDescent="0.3">
      <c r="A3">
        <v>2003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x14ac:dyDescent="0.3">
      <c r="A4">
        <v>2004</v>
      </c>
      <c r="B4" s="15">
        <v>0.200327068567276</v>
      </c>
      <c r="C4" s="15">
        <v>2.6674582622945309E-3</v>
      </c>
      <c r="D4" s="15">
        <v>0.18824385106563568</v>
      </c>
      <c r="E4" s="15">
        <v>2.6369779370725155E-3</v>
      </c>
      <c r="F4" s="15">
        <v>0.13232488930225372</v>
      </c>
      <c r="G4" s="15">
        <v>2.7157897129654884E-3</v>
      </c>
      <c r="H4" s="15">
        <v>0.24829654395580292</v>
      </c>
      <c r="I4" s="15">
        <v>2.6491517201066017E-3</v>
      </c>
      <c r="J4" s="15">
        <v>0.15149450302124023</v>
      </c>
      <c r="K4" s="15">
        <v>2.4039375130087137E-3</v>
      </c>
      <c r="L4" s="15">
        <v>7.1681655943393707E-2</v>
      </c>
      <c r="M4" s="15">
        <v>2.0903642289340496E-3</v>
      </c>
      <c r="N4" s="15">
        <v>0.28381937742233276</v>
      </c>
      <c r="O4" s="15">
        <v>3.3945036120712757E-3</v>
      </c>
      <c r="P4" s="15">
        <v>0.32760968804359436</v>
      </c>
      <c r="Q4" s="15">
        <v>2.8962420765310526E-3</v>
      </c>
      <c r="R4" s="15">
        <v>0.38857090473175049</v>
      </c>
      <c r="S4" s="15">
        <v>2.855152590200305E-3</v>
      </c>
      <c r="T4" s="15">
        <v>0.59762191772460938</v>
      </c>
      <c r="U4" s="15">
        <v>2.6792301796376705E-3</v>
      </c>
    </row>
    <row r="5" spans="1:21" x14ac:dyDescent="0.3">
      <c r="A5">
        <v>2005</v>
      </c>
      <c r="B5" s="12">
        <v>0.1958608478307724</v>
      </c>
      <c r="C5" s="12">
        <v>2.6010347064584494E-3</v>
      </c>
      <c r="D5" s="12">
        <v>0.17886394262313843</v>
      </c>
      <c r="E5" s="12">
        <v>2.4023039732128382E-3</v>
      </c>
      <c r="F5" s="12">
        <v>0.13795684278011322</v>
      </c>
      <c r="G5" s="12">
        <v>2.5028430391103029E-3</v>
      </c>
      <c r="H5" s="12">
        <v>0.26402464509010315</v>
      </c>
      <c r="I5" s="12">
        <v>2.7557006105780602E-3</v>
      </c>
      <c r="J5" s="12">
        <v>0.14883311092853546</v>
      </c>
      <c r="K5" s="12">
        <v>2.3085491266101599E-3</v>
      </c>
      <c r="L5" s="12">
        <v>6.7018933594226837E-2</v>
      </c>
      <c r="M5" s="12">
        <v>1.6066613607108593E-3</v>
      </c>
      <c r="N5" s="12">
        <v>0.28678995370864868</v>
      </c>
      <c r="O5" s="12">
        <v>2.8494945727288723E-3</v>
      </c>
      <c r="P5" s="12">
        <v>0.3384852409362793</v>
      </c>
      <c r="Q5" s="12">
        <v>3.1190116424113512E-3</v>
      </c>
      <c r="R5" s="12">
        <v>0.37472480535507202</v>
      </c>
      <c r="S5" s="12">
        <v>3.4517066087573767E-3</v>
      </c>
      <c r="T5" s="12">
        <v>0.59459602832794189</v>
      </c>
      <c r="U5" s="12">
        <v>2.6123302523046732E-3</v>
      </c>
    </row>
    <row r="6" spans="1:21" x14ac:dyDescent="0.3">
      <c r="A6">
        <v>2006</v>
      </c>
      <c r="B6" s="12">
        <v>0.18680368363857269</v>
      </c>
      <c r="C6" s="12">
        <v>2.2824602201581001E-3</v>
      </c>
      <c r="D6" s="12">
        <v>0.16730695962905884</v>
      </c>
      <c r="E6" s="12">
        <v>2.7621909976005554E-3</v>
      </c>
      <c r="F6" s="12">
        <v>0.13695736229419708</v>
      </c>
      <c r="G6" s="12">
        <v>2.2753984667360783E-3</v>
      </c>
      <c r="H6" s="12">
        <v>0.28822511434555054</v>
      </c>
      <c r="I6" s="12">
        <v>3.375333733856678E-3</v>
      </c>
      <c r="J6" s="12">
        <v>0.14353629946708679</v>
      </c>
      <c r="K6" s="12">
        <v>2.5791260413825512E-3</v>
      </c>
      <c r="L6" s="12">
        <v>6.9247022271156311E-2</v>
      </c>
      <c r="M6" s="12">
        <v>1.9129500724375248E-3</v>
      </c>
      <c r="N6" s="12">
        <v>0.28049364686012268</v>
      </c>
      <c r="O6" s="12">
        <v>2.9451211448758841E-3</v>
      </c>
      <c r="P6" s="12">
        <v>0.36539569497108459</v>
      </c>
      <c r="Q6" s="12">
        <v>3.3840155228972435E-3</v>
      </c>
      <c r="R6" s="12">
        <v>0.35411062836647034</v>
      </c>
      <c r="S6" s="12">
        <v>3.0042061116546392E-3</v>
      </c>
      <c r="T6" s="12">
        <v>0.59073501825332642</v>
      </c>
      <c r="U6" s="12">
        <v>2.8956530150026083E-3</v>
      </c>
    </row>
    <row r="7" spans="1:21" x14ac:dyDescent="0.3">
      <c r="A7">
        <v>2007</v>
      </c>
      <c r="B7" s="12">
        <v>0.16899268329143524</v>
      </c>
      <c r="C7" s="12">
        <v>2.7218915056437254E-3</v>
      </c>
      <c r="D7" s="12">
        <v>0.15863814949989319</v>
      </c>
      <c r="E7" s="12">
        <v>2.9258464928716421E-3</v>
      </c>
      <c r="F7" s="12">
        <v>0.15098480880260468</v>
      </c>
      <c r="G7" s="12">
        <v>2.7191578410565853E-3</v>
      </c>
      <c r="H7" s="12">
        <v>0.29921215772628784</v>
      </c>
      <c r="I7" s="12">
        <v>3.0950803775340319E-3</v>
      </c>
      <c r="J7" s="12">
        <v>0.13956105709075928</v>
      </c>
      <c r="K7" s="12">
        <v>2.8316928073763847E-3</v>
      </c>
      <c r="L7" s="12">
        <v>6.9217786192893982E-2</v>
      </c>
      <c r="M7" s="12">
        <v>2.0605765748769045E-3</v>
      </c>
      <c r="N7" s="12">
        <v>0.29054585099220276</v>
      </c>
      <c r="O7" s="12">
        <v>3.3377276267856359E-3</v>
      </c>
      <c r="P7" s="12">
        <v>0.38182330131530762</v>
      </c>
      <c r="Q7" s="12">
        <v>3.3623024355620146E-3</v>
      </c>
      <c r="R7" s="12">
        <v>0.32763084769248962</v>
      </c>
      <c r="S7" s="12">
        <v>3.0724524985998869E-3</v>
      </c>
      <c r="T7" s="12">
        <v>0.57982838153839111</v>
      </c>
      <c r="U7" s="12">
        <v>2.6014165487140417E-3</v>
      </c>
    </row>
    <row r="8" spans="1:21" x14ac:dyDescent="0.3">
      <c r="A8">
        <v>2008</v>
      </c>
      <c r="B8" s="12">
        <v>0.15779951214790344</v>
      </c>
      <c r="C8" s="12">
        <v>2.7134306728839874E-3</v>
      </c>
      <c r="D8" s="12">
        <v>0.15887375175952911</v>
      </c>
      <c r="E8" s="12">
        <v>3.002524608746171E-3</v>
      </c>
      <c r="F8" s="12">
        <v>0.15491603314876556</v>
      </c>
      <c r="G8" s="12">
        <v>2.9234860558062792E-3</v>
      </c>
      <c r="H8" s="12">
        <v>0.31933057308197021</v>
      </c>
      <c r="I8" s="12">
        <v>3.2043133396655321E-3</v>
      </c>
      <c r="J8" s="12">
        <v>0.13388364017009735</v>
      </c>
      <c r="K8" s="12">
        <v>2.6079423259943724E-3</v>
      </c>
      <c r="L8" s="12">
        <v>6.4171425998210907E-2</v>
      </c>
      <c r="M8" s="12">
        <v>1.7604965250939131E-3</v>
      </c>
      <c r="N8" s="12">
        <v>0.28879967331886292</v>
      </c>
      <c r="O8" s="12">
        <v>3.4703568089753389E-3</v>
      </c>
      <c r="P8" s="12">
        <v>0.39452704787254333</v>
      </c>
      <c r="Q8" s="12">
        <v>3.4812097437679768E-3</v>
      </c>
      <c r="R8" s="12">
        <v>0.31667324900627136</v>
      </c>
      <c r="S8" s="12">
        <v>3.537370590493083E-3</v>
      </c>
      <c r="T8" s="12">
        <v>0.56079775094985962</v>
      </c>
      <c r="U8" s="12">
        <v>3.102282527834177E-3</v>
      </c>
    </row>
    <row r="9" spans="1:21" x14ac:dyDescent="0.3">
      <c r="A9">
        <v>2009</v>
      </c>
      <c r="B9" s="12">
        <v>0.14011594653129578</v>
      </c>
      <c r="C9" s="12">
        <v>2.3901588283479214E-3</v>
      </c>
      <c r="D9" s="12">
        <v>0.15640579164028168</v>
      </c>
      <c r="E9" s="12">
        <v>2.678572665899992E-3</v>
      </c>
      <c r="F9" s="12">
        <v>0.16446377336978912</v>
      </c>
      <c r="G9" s="12">
        <v>2.9372188728302717E-3</v>
      </c>
      <c r="H9" s="12">
        <v>0.33031883835792542</v>
      </c>
      <c r="I9" s="12">
        <v>3.306766040623188E-3</v>
      </c>
      <c r="J9" s="12">
        <v>0.13460870087146759</v>
      </c>
      <c r="K9" s="12">
        <v>2.8034471906721592E-3</v>
      </c>
      <c r="L9" s="12">
        <v>6.1507247388362885E-2</v>
      </c>
      <c r="M9" s="12">
        <v>1.8276422051712871E-3</v>
      </c>
      <c r="N9" s="12">
        <v>0.29907247424125671</v>
      </c>
      <c r="O9" s="12">
        <v>3.223103703930974E-3</v>
      </c>
      <c r="P9" s="12">
        <v>0.40440580248832703</v>
      </c>
      <c r="Q9" s="12">
        <v>4.3157478794455528E-3</v>
      </c>
      <c r="R9" s="12">
        <v>0.29652175307273865</v>
      </c>
      <c r="S9" s="12">
        <v>3.3535324037075043E-3</v>
      </c>
      <c r="T9" s="12">
        <v>0.56072032451629639</v>
      </c>
      <c r="U9" s="12">
        <v>2.8993736486881971E-3</v>
      </c>
    </row>
    <row r="10" spans="1:21" x14ac:dyDescent="0.3">
      <c r="A10">
        <v>2010</v>
      </c>
      <c r="B10" s="12">
        <v>0.13049913942813873</v>
      </c>
      <c r="C10" s="12">
        <v>2.4726749397814274E-3</v>
      </c>
      <c r="D10" s="12">
        <v>0.15282136201858521</v>
      </c>
      <c r="E10" s="12">
        <v>2.6788702234625816E-3</v>
      </c>
      <c r="F10" s="12">
        <v>0.17881461977958679</v>
      </c>
      <c r="G10" s="12">
        <v>2.848844276741147E-3</v>
      </c>
      <c r="H10" s="12">
        <v>0.34164249897003174</v>
      </c>
      <c r="I10" s="12">
        <v>4.0524941869080067E-3</v>
      </c>
      <c r="J10" s="12">
        <v>0.11954526603221893</v>
      </c>
      <c r="K10" s="12">
        <v>2.3772337008267641E-3</v>
      </c>
      <c r="L10" s="12">
        <v>6.347326934337616E-2</v>
      </c>
      <c r="M10" s="12">
        <v>1.9620347302407026E-3</v>
      </c>
      <c r="N10" s="12">
        <v>0.29835987091064453</v>
      </c>
      <c r="O10" s="12">
        <v>3.6845544818788767E-3</v>
      </c>
      <c r="P10" s="12">
        <v>0.41831961274147034</v>
      </c>
      <c r="Q10" s="12">
        <v>3.6988214123994112E-3</v>
      </c>
      <c r="R10" s="12">
        <v>0.28332051634788513</v>
      </c>
      <c r="S10" s="12">
        <v>3.4080962650477886E-3</v>
      </c>
      <c r="T10" s="12">
        <v>0.54889661073684692</v>
      </c>
      <c r="U10" s="12">
        <v>3.0664661899209023E-3</v>
      </c>
    </row>
    <row r="11" spans="1:21" x14ac:dyDescent="0.3">
      <c r="A11">
        <v>2011</v>
      </c>
      <c r="B11" s="12">
        <v>0.12646548449993134</v>
      </c>
      <c r="C11" s="12">
        <v>2.4825534783303738E-3</v>
      </c>
      <c r="D11" s="12">
        <v>0.15303502976894379</v>
      </c>
      <c r="E11" s="12">
        <v>3.1106106471270323E-3</v>
      </c>
      <c r="F11" s="12">
        <v>0.19063475728034973</v>
      </c>
      <c r="G11" s="12">
        <v>3.5429187119007111E-3</v>
      </c>
      <c r="H11" s="12">
        <v>0.3382587730884552</v>
      </c>
      <c r="I11" s="12">
        <v>3.4547995310276747E-3</v>
      </c>
      <c r="J11" s="12">
        <v>0.12119320034980774</v>
      </c>
      <c r="K11" s="12">
        <v>2.9641322325915098E-3</v>
      </c>
      <c r="L11" s="12">
        <v>5.7509537786245346E-2</v>
      </c>
      <c r="M11" s="12">
        <v>1.6481970669701695E-3</v>
      </c>
      <c r="N11" s="12">
        <v>0.31182795763015747</v>
      </c>
      <c r="O11" s="12">
        <v>4.2039202526211739E-3</v>
      </c>
      <c r="P11" s="12">
        <v>0.40867152810096741</v>
      </c>
      <c r="Q11" s="12">
        <v>3.9553958922624588E-3</v>
      </c>
      <c r="R11" s="12">
        <v>0.27950051426887512</v>
      </c>
      <c r="S11" s="12">
        <v>3.1184914987534285E-3</v>
      </c>
      <c r="T11" s="12">
        <v>0.54429090023040771</v>
      </c>
      <c r="U11" s="12">
        <v>2.7635602746158838E-3</v>
      </c>
    </row>
    <row r="12" spans="1:21" x14ac:dyDescent="0.3">
      <c r="A12">
        <v>2012</v>
      </c>
      <c r="B12" s="12">
        <v>0.12236877530813217</v>
      </c>
      <c r="C12" s="12">
        <v>2.8358548879623413E-3</v>
      </c>
      <c r="D12" s="12">
        <v>0.14255262911319733</v>
      </c>
      <c r="E12" s="12">
        <v>2.6738592423498631E-3</v>
      </c>
      <c r="F12" s="12">
        <v>0.20030641555786133</v>
      </c>
      <c r="G12" s="12">
        <v>3.7499051541090012E-3</v>
      </c>
      <c r="H12" s="12">
        <v>0.34845456480979919</v>
      </c>
      <c r="I12" s="12">
        <v>3.8129282183945179E-3</v>
      </c>
      <c r="J12" s="12">
        <v>0.11424194276332855</v>
      </c>
      <c r="K12" s="12">
        <v>2.6746406219899654E-3</v>
      </c>
      <c r="L12" s="12">
        <v>5.748734250664711E-2</v>
      </c>
      <c r="M12" s="12">
        <v>1.7677593277767301E-3</v>
      </c>
      <c r="N12" s="12">
        <v>0.31454837322235107</v>
      </c>
      <c r="O12" s="12">
        <v>3.9079342968761921E-3</v>
      </c>
      <c r="P12" s="12">
        <v>0.42053022980690002</v>
      </c>
      <c r="Q12" s="12">
        <v>4.3922839686274529E-3</v>
      </c>
      <c r="R12" s="12">
        <v>0.2649213969707489</v>
      </c>
      <c r="S12" s="12">
        <v>3.9209155365824699E-3</v>
      </c>
      <c r="T12" s="12">
        <v>0.52922511100769043</v>
      </c>
      <c r="U12" s="12">
        <v>3.0737502966076136E-3</v>
      </c>
    </row>
    <row r="13" spans="1:21" x14ac:dyDescent="0.3">
      <c r="A13">
        <v>2013</v>
      </c>
      <c r="B13" s="12">
        <v>0.11049115657806396</v>
      </c>
      <c r="C13" s="12">
        <v>2.4678672198206186E-3</v>
      </c>
      <c r="D13" s="12">
        <v>0.13824242353439331</v>
      </c>
      <c r="E13" s="12">
        <v>2.9440862126648426E-3</v>
      </c>
      <c r="F13" s="12">
        <v>0.20556493103504181</v>
      </c>
      <c r="G13" s="12">
        <v>3.6436994560062885E-3</v>
      </c>
      <c r="H13" s="12">
        <v>0.36898905038833618</v>
      </c>
      <c r="I13" s="12">
        <v>4.5439829118549824E-3</v>
      </c>
      <c r="J13" s="12">
        <v>0.10792159289121628</v>
      </c>
      <c r="K13" s="12">
        <v>2.5790489744395018E-3</v>
      </c>
      <c r="L13" s="12">
        <v>5.4621540009975433E-2</v>
      </c>
      <c r="M13" s="12">
        <v>2.1612690761685371E-3</v>
      </c>
      <c r="N13" s="12">
        <v>0.31348651647567749</v>
      </c>
      <c r="O13" s="12">
        <v>4.146612249314785E-3</v>
      </c>
      <c r="P13" s="12">
        <v>0.43777990341186523</v>
      </c>
      <c r="Q13" s="12">
        <v>4.1983802802860737E-3</v>
      </c>
      <c r="R13" s="12">
        <v>0.24873358011245728</v>
      </c>
      <c r="S13" s="12">
        <v>3.5373696591705084E-3</v>
      </c>
      <c r="T13" s="12">
        <v>0.51692599058151245</v>
      </c>
      <c r="U13" s="12">
        <v>3.1312133651226759E-3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19"/>
  <sheetViews>
    <sheetView workbookViewId="0">
      <selection activeCell="J24" sqref="J24"/>
    </sheetView>
  </sheetViews>
  <sheetFormatPr defaultColWidth="8.77734375" defaultRowHeight="14.4" x14ac:dyDescent="0.3"/>
  <sheetData>
    <row r="1" spans="1:62" x14ac:dyDescent="0.3">
      <c r="C1" s="21" t="s">
        <v>9</v>
      </c>
      <c r="D1" s="21"/>
      <c r="E1" s="21"/>
      <c r="F1" s="21"/>
      <c r="G1" s="21"/>
      <c r="H1" s="2"/>
      <c r="I1" s="2"/>
      <c r="J1" s="21" t="s">
        <v>10</v>
      </c>
      <c r="K1" s="21"/>
      <c r="L1" s="21"/>
      <c r="M1" s="21"/>
      <c r="N1" s="21"/>
      <c r="O1" s="2"/>
      <c r="P1" s="2"/>
      <c r="Q1" s="21" t="s">
        <v>14</v>
      </c>
      <c r="R1" s="21"/>
      <c r="S1" s="21"/>
      <c r="T1" s="21"/>
      <c r="U1" s="21"/>
      <c r="V1" s="2"/>
      <c r="W1" s="2"/>
      <c r="X1" s="2"/>
      <c r="Y1" s="21" t="s">
        <v>18</v>
      </c>
      <c r="Z1" s="21"/>
      <c r="AA1" s="21"/>
      <c r="AB1" s="21"/>
      <c r="AC1" s="21"/>
      <c r="AD1" s="2"/>
      <c r="AF1" s="21" t="s">
        <v>0</v>
      </c>
      <c r="AG1" s="21"/>
      <c r="AH1" s="21"/>
      <c r="AI1" s="2"/>
      <c r="AK1" s="21" t="s">
        <v>19</v>
      </c>
      <c r="AL1" s="21"/>
      <c r="AM1" s="21"/>
      <c r="AN1" s="2"/>
      <c r="AP1" s="21" t="s">
        <v>28</v>
      </c>
      <c r="AQ1" s="21"/>
      <c r="AR1" s="21"/>
      <c r="AS1" s="2"/>
      <c r="AU1" t="s">
        <v>36</v>
      </c>
      <c r="AZ1" s="22" t="s">
        <v>18</v>
      </c>
      <c r="BA1" s="21"/>
      <c r="BB1" s="21"/>
      <c r="BD1" s="21"/>
      <c r="BE1" s="21"/>
      <c r="BF1" s="21"/>
      <c r="BH1" s="21"/>
      <c r="BI1" s="21"/>
      <c r="BJ1" s="21"/>
    </row>
    <row r="2" spans="1:62" x14ac:dyDescent="0.3">
      <c r="C2" t="s">
        <v>11</v>
      </c>
      <c r="E2" t="s">
        <v>12</v>
      </c>
      <c r="G2" t="s">
        <v>13</v>
      </c>
      <c r="J2" t="s">
        <v>11</v>
      </c>
      <c r="L2" t="s">
        <v>12</v>
      </c>
      <c r="N2" t="s">
        <v>13</v>
      </c>
      <c r="Q2" t="s">
        <v>11</v>
      </c>
      <c r="S2" t="s">
        <v>12</v>
      </c>
      <c r="U2" t="s">
        <v>13</v>
      </c>
      <c r="Y2" t="s">
        <v>15</v>
      </c>
      <c r="AA2" t="s">
        <v>16</v>
      </c>
      <c r="AC2" t="s">
        <v>17</v>
      </c>
      <c r="AF2" t="s">
        <v>12</v>
      </c>
      <c r="AH2" t="s">
        <v>13</v>
      </c>
      <c r="AK2" t="s">
        <v>12</v>
      </c>
      <c r="AM2" t="s">
        <v>13</v>
      </c>
      <c r="AP2" t="s">
        <v>12</v>
      </c>
      <c r="AR2" t="s">
        <v>13</v>
      </c>
      <c r="AU2" t="s">
        <v>37</v>
      </c>
      <c r="AW2" t="s">
        <v>38</v>
      </c>
      <c r="AZ2" s="4" t="s">
        <v>83</v>
      </c>
      <c r="BB2" s="4" t="s">
        <v>84</v>
      </c>
    </row>
    <row r="3" spans="1:62" x14ac:dyDescent="0.3">
      <c r="C3" s="5"/>
      <c r="D3" s="5"/>
      <c r="E3" s="5"/>
      <c r="F3" s="5"/>
      <c r="G3" s="5"/>
      <c r="H3" s="5"/>
      <c r="I3" s="6"/>
      <c r="J3" s="5"/>
      <c r="K3" s="5"/>
      <c r="L3" s="5"/>
      <c r="M3" s="5"/>
      <c r="N3" s="5"/>
      <c r="O3" s="5"/>
      <c r="P3" s="6"/>
      <c r="Q3" s="5"/>
      <c r="R3" s="5"/>
      <c r="S3" s="5"/>
      <c r="T3" s="5"/>
      <c r="U3" s="5"/>
      <c r="V3" s="5"/>
      <c r="W3" s="6"/>
      <c r="X3" s="6"/>
      <c r="Y3" s="5"/>
      <c r="Z3" s="5"/>
      <c r="AA3" s="5"/>
      <c r="AB3" s="5"/>
      <c r="AC3" s="5"/>
      <c r="AD3" s="5"/>
      <c r="AE3" s="6"/>
      <c r="AF3" s="5"/>
      <c r="AG3" s="5"/>
      <c r="AH3" s="5"/>
      <c r="AI3" s="5"/>
      <c r="AJ3" s="6"/>
      <c r="AK3" s="5"/>
      <c r="AL3" s="5"/>
      <c r="AM3" s="5"/>
      <c r="AN3" s="5"/>
      <c r="AO3" s="6"/>
      <c r="AP3" s="5"/>
      <c r="AQ3" s="5"/>
      <c r="AR3" s="5"/>
      <c r="AS3" s="5"/>
      <c r="AT3" s="6"/>
      <c r="AU3" s="5"/>
      <c r="AV3" s="5"/>
      <c r="AW3" s="5"/>
      <c r="AX3" s="5"/>
      <c r="AZ3" s="7"/>
      <c r="BA3" s="7"/>
      <c r="BB3" s="7"/>
      <c r="BC3" s="7"/>
    </row>
    <row r="4" spans="1:62" x14ac:dyDescent="0.3">
      <c r="A4">
        <v>2004</v>
      </c>
      <c r="C4" s="15">
        <v>0.58038949966430664</v>
      </c>
      <c r="D4" s="15">
        <v>8.4668053314089775E-3</v>
      </c>
      <c r="E4" s="15">
        <v>0.47126090526580811</v>
      </c>
      <c r="F4" s="15">
        <v>4.1906233876943588E-2</v>
      </c>
      <c r="G4" s="15">
        <v>0.4591599702835083</v>
      </c>
      <c r="H4" s="15">
        <v>3.6347661167383194E-2</v>
      </c>
      <c r="I4" s="18"/>
      <c r="J4" s="15">
        <v>0.59222710132598877</v>
      </c>
      <c r="K4" s="15">
        <v>5.7669230736792088E-3</v>
      </c>
      <c r="L4" s="15">
        <v>0.62830591201782227</v>
      </c>
      <c r="M4" s="15">
        <v>1.828429289162159E-2</v>
      </c>
      <c r="N4" s="15">
        <v>0.65460282564163208</v>
      </c>
      <c r="O4" s="15">
        <v>1.7908714711666107E-2</v>
      </c>
      <c r="P4" s="18"/>
      <c r="Q4" s="15">
        <v>0.5918542742729187</v>
      </c>
      <c r="R4" s="15">
        <v>3.7825345061719418E-3</v>
      </c>
      <c r="S4" s="15">
        <v>0.556235671043396</v>
      </c>
      <c r="T4" s="15">
        <v>1.7047179862856865E-2</v>
      </c>
      <c r="U4" s="15">
        <v>0.56246036291122437</v>
      </c>
      <c r="V4" s="15">
        <v>1.7617227509617805E-2</v>
      </c>
      <c r="W4" s="18"/>
      <c r="X4" s="18"/>
      <c r="Y4" s="15">
        <v>-9.6577338874340057E-2</v>
      </c>
      <c r="Z4" s="15">
        <v>1.1296655982732773E-2</v>
      </c>
      <c r="AA4" s="15">
        <v>0.37948134541511536</v>
      </c>
      <c r="AB4" s="15">
        <v>1.0447142645716667E-2</v>
      </c>
      <c r="AC4" s="15">
        <v>0.39755776524543762</v>
      </c>
      <c r="AD4" s="15">
        <v>1.192721351981163E-2</v>
      </c>
      <c r="AE4" s="18"/>
      <c r="AF4" s="15">
        <v>0.36006647348403931</v>
      </c>
      <c r="AG4" s="15">
        <v>5.3673785179853439E-2</v>
      </c>
      <c r="AH4" s="15">
        <v>0.33343079686164856</v>
      </c>
      <c r="AI4" s="15">
        <v>4.9065306782722473E-2</v>
      </c>
      <c r="AJ4" s="18"/>
      <c r="AK4" s="15">
        <v>3.8214646279811859E-2</v>
      </c>
      <c r="AL4" s="15">
        <v>2.6782827451825142E-2</v>
      </c>
      <c r="AM4" s="15">
        <v>6.1331823468208313E-2</v>
      </c>
      <c r="AN4" s="15">
        <v>2.6415005326271057E-2</v>
      </c>
      <c r="AO4" s="18"/>
      <c r="AP4" s="15">
        <v>8.3361886441707611E-2</v>
      </c>
      <c r="AQ4" s="15">
        <v>1.7496557906270027E-2</v>
      </c>
      <c r="AR4" s="15">
        <v>8.1699468195438385E-2</v>
      </c>
      <c r="AS4" s="15">
        <v>1.8073743209242821E-2</v>
      </c>
      <c r="AT4" s="18"/>
      <c r="AU4" s="15">
        <v>-0.12799882888793945</v>
      </c>
      <c r="AV4" s="15">
        <v>1.7491642385721207E-2</v>
      </c>
      <c r="AW4" s="15">
        <v>-0.20419679582118988</v>
      </c>
      <c r="AX4" s="15">
        <v>1.5514016151428223E-2</v>
      </c>
      <c r="AY4" s="18"/>
      <c r="AZ4" s="19">
        <v>0.31434470415115356</v>
      </c>
      <c r="BA4" s="19">
        <v>5.8399862609803677E-3</v>
      </c>
      <c r="BB4" s="19">
        <v>0.33242112398147583</v>
      </c>
      <c r="BC4" s="19">
        <v>8.9775547385215759E-3</v>
      </c>
    </row>
    <row r="5" spans="1:62" x14ac:dyDescent="0.3">
      <c r="A5">
        <v>2005</v>
      </c>
      <c r="C5" s="12">
        <v>0.53058713674545288</v>
      </c>
      <c r="D5" s="12">
        <v>6.5056448802351952E-3</v>
      </c>
      <c r="E5" s="12">
        <v>0.46234974265098572</v>
      </c>
      <c r="F5" s="12">
        <v>4.2108617722988129E-2</v>
      </c>
      <c r="G5" s="12">
        <v>0.50034910440444946</v>
      </c>
      <c r="H5" s="12">
        <v>2.9314475134015083E-2</v>
      </c>
      <c r="I5" s="16"/>
      <c r="J5" s="12">
        <v>0.56976258754730225</v>
      </c>
      <c r="K5" s="12">
        <v>5.1743234507739544E-3</v>
      </c>
      <c r="L5" s="12">
        <v>0.61173003911972046</v>
      </c>
      <c r="M5" s="12">
        <v>2.580069936811924E-2</v>
      </c>
      <c r="N5" s="12">
        <v>0.63612830638885498</v>
      </c>
      <c r="O5" s="12">
        <v>2.0553784444928169E-2</v>
      </c>
      <c r="P5" s="16"/>
      <c r="Q5" s="12">
        <v>0.56064802408218384</v>
      </c>
      <c r="R5" s="12">
        <v>4.018816165626049E-3</v>
      </c>
      <c r="S5" s="12">
        <v>0.49846324324607849</v>
      </c>
      <c r="T5" s="12">
        <v>2.278440073132515E-2</v>
      </c>
      <c r="U5" s="12">
        <v>0.53627735376358032</v>
      </c>
      <c r="V5" s="12">
        <v>1.5963276848196983E-2</v>
      </c>
      <c r="W5" s="16"/>
      <c r="X5" s="16"/>
      <c r="Y5" s="12">
        <v>-9.3530409038066864E-2</v>
      </c>
      <c r="Z5" s="12">
        <v>9.7655709832906723E-3</v>
      </c>
      <c r="AA5" s="12">
        <v>0.42672207951545715</v>
      </c>
      <c r="AB5" s="12">
        <v>7.9727871343493462E-3</v>
      </c>
      <c r="AC5" s="12">
        <v>0.53545260429382324</v>
      </c>
      <c r="AD5" s="12">
        <v>1.1291029863059521E-2</v>
      </c>
      <c r="AE5" s="16"/>
      <c r="AF5" s="12">
        <v>0.22547014057636261</v>
      </c>
      <c r="AG5" s="12">
        <v>5.5037707090377808E-2</v>
      </c>
      <c r="AH5" s="12">
        <v>0.27288556098937988</v>
      </c>
      <c r="AI5" s="12">
        <v>4.97322678565979E-2</v>
      </c>
      <c r="AJ5" s="16"/>
      <c r="AK5" s="12">
        <v>0.12501437962055206</v>
      </c>
      <c r="AL5" s="12">
        <v>2.4225205183029175E-2</v>
      </c>
      <c r="AM5" s="12">
        <v>0.11252730339765549</v>
      </c>
      <c r="AN5" s="12">
        <v>2.3031055927276611E-2</v>
      </c>
      <c r="AO5" s="16"/>
      <c r="AP5" s="12">
        <v>9.7841344773769379E-2</v>
      </c>
      <c r="AQ5" s="12">
        <v>1.6852835193276405E-2</v>
      </c>
      <c r="AR5" s="12">
        <v>9.1421104967594147E-2</v>
      </c>
      <c r="AS5" s="12">
        <v>1.4762873761355877E-2</v>
      </c>
      <c r="AT5" s="16"/>
      <c r="AU5" s="12">
        <v>-0.17586612701416016</v>
      </c>
      <c r="AV5" s="12">
        <v>1.5268079005181789E-2</v>
      </c>
      <c r="AW5" s="12">
        <v>-0.17988087236881256</v>
      </c>
      <c r="AX5" s="12">
        <v>1.5579869970679283E-2</v>
      </c>
      <c r="AY5" s="16"/>
      <c r="AZ5" s="17">
        <v>0.36315396428108215</v>
      </c>
      <c r="BA5" s="17">
        <v>4.9325632862746716E-3</v>
      </c>
      <c r="BB5" s="17">
        <v>0.47188448905944824</v>
      </c>
      <c r="BC5" s="17">
        <v>8.7907165288925171E-3</v>
      </c>
    </row>
    <row r="6" spans="1:62" x14ac:dyDescent="0.3">
      <c r="A6">
        <v>2006</v>
      </c>
      <c r="C6" s="12">
        <v>0.5461309552192688</v>
      </c>
      <c r="D6" s="12">
        <v>8.440038189291954E-3</v>
      </c>
      <c r="E6" s="12">
        <v>0.39126753807067871</v>
      </c>
      <c r="F6" s="12">
        <v>3.8092341274023056E-2</v>
      </c>
      <c r="G6" s="12">
        <v>0.40590149164199829</v>
      </c>
      <c r="H6" s="12">
        <v>3.7015873938798904E-2</v>
      </c>
      <c r="I6" s="16"/>
      <c r="J6" s="12">
        <v>0.58198201656341553</v>
      </c>
      <c r="K6" s="12">
        <v>5.3537106141448021E-3</v>
      </c>
      <c r="L6" s="12">
        <v>0.59983158111572266</v>
      </c>
      <c r="M6" s="12">
        <v>2.1855821833014488E-2</v>
      </c>
      <c r="N6" s="12">
        <v>0.6399114727973938</v>
      </c>
      <c r="O6" s="12">
        <v>1.9765594974160194E-2</v>
      </c>
      <c r="P6" s="16"/>
      <c r="Q6" s="12">
        <v>0.57050603628158569</v>
      </c>
      <c r="R6" s="12">
        <v>4.4351657852530479E-3</v>
      </c>
      <c r="S6" s="12">
        <v>0.47746089100837708</v>
      </c>
      <c r="T6" s="12">
        <v>2.3018795996904373E-2</v>
      </c>
      <c r="U6" s="12">
        <v>0.51735097169876099</v>
      </c>
      <c r="V6" s="12">
        <v>1.8386384472250938E-2</v>
      </c>
      <c r="W6" s="16"/>
      <c r="X6" s="16"/>
      <c r="Y6" s="12">
        <v>-6.1108142137527466E-2</v>
      </c>
      <c r="Z6" s="12">
        <v>1.0184177197515965E-2</v>
      </c>
      <c r="AA6" s="12">
        <v>0.33447885513305664</v>
      </c>
      <c r="AB6" s="12">
        <v>8.6499517783522606E-3</v>
      </c>
      <c r="AC6" s="12">
        <v>0.57981806993484497</v>
      </c>
      <c r="AD6" s="12">
        <v>1.2631856836378574E-2</v>
      </c>
      <c r="AE6" s="16"/>
      <c r="AF6" s="12">
        <v>0.26794141530990601</v>
      </c>
      <c r="AG6" s="12">
        <v>5.7399645447731018E-2</v>
      </c>
      <c r="AH6" s="12">
        <v>0.25278016924858093</v>
      </c>
      <c r="AI6" s="12">
        <v>5.7945404201745987E-2</v>
      </c>
      <c r="AJ6" s="16"/>
      <c r="AK6" s="12">
        <v>7.4563346803188324E-2</v>
      </c>
      <c r="AL6" s="12">
        <v>3.029603511095047E-2</v>
      </c>
      <c r="AM6" s="12">
        <v>6.6399313509464264E-2</v>
      </c>
      <c r="AN6" s="12">
        <v>2.7612654492259026E-2</v>
      </c>
      <c r="AO6" s="16"/>
      <c r="AP6" s="12">
        <v>0.110487200319767</v>
      </c>
      <c r="AQ6" s="12">
        <v>2.2594930604100227E-2</v>
      </c>
      <c r="AR6" s="12">
        <v>9.819938987493515E-2</v>
      </c>
      <c r="AS6" s="12">
        <v>1.7969705164432526E-2</v>
      </c>
      <c r="AT6" s="16"/>
      <c r="AU6" s="12">
        <v>-8.8741540908813477E-2</v>
      </c>
      <c r="AV6" s="12">
        <v>2.0630169659852982E-2</v>
      </c>
      <c r="AW6" s="12">
        <v>-0.13723930716514587</v>
      </c>
      <c r="AX6" s="12">
        <v>1.436809916049242E-2</v>
      </c>
      <c r="AY6" s="16"/>
      <c r="AZ6" s="17">
        <v>0.29367467761039734</v>
      </c>
      <c r="BA6" s="17">
        <v>5.2059134468436241E-3</v>
      </c>
      <c r="BB6" s="17">
        <v>0.53901386260986328</v>
      </c>
      <c r="BC6" s="17">
        <v>9.9494094029068947E-3</v>
      </c>
    </row>
    <row r="7" spans="1:62" x14ac:dyDescent="0.3">
      <c r="A7">
        <v>2007</v>
      </c>
      <c r="C7" s="12">
        <v>0.52822530269622803</v>
      </c>
      <c r="D7" s="12">
        <v>7.3223649524152279E-3</v>
      </c>
      <c r="E7" s="12">
        <v>0.30569621920585632</v>
      </c>
      <c r="F7" s="12">
        <v>5.0688453018665314E-2</v>
      </c>
      <c r="G7" s="12">
        <v>0.32451874017715454</v>
      </c>
      <c r="H7" s="12">
        <v>3.5581834614276886E-2</v>
      </c>
      <c r="I7" s="16"/>
      <c r="J7" s="12">
        <v>0.63270968198776245</v>
      </c>
      <c r="K7" s="12">
        <v>5.8999555185437202E-3</v>
      </c>
      <c r="L7" s="12">
        <v>0.64276200532913208</v>
      </c>
      <c r="M7" s="12">
        <v>2.5206368416547775E-2</v>
      </c>
      <c r="N7" s="12">
        <v>0.62554669380187988</v>
      </c>
      <c r="O7" s="12">
        <v>1.6819704324007034E-2</v>
      </c>
      <c r="P7" s="16"/>
      <c r="Q7" s="12">
        <v>0.59646141529083252</v>
      </c>
      <c r="R7" s="12">
        <v>5.0787064246833324E-3</v>
      </c>
      <c r="S7" s="12">
        <v>0.51805025339126587</v>
      </c>
      <c r="T7" s="12">
        <v>2.3447761312127113E-2</v>
      </c>
      <c r="U7" s="12">
        <v>0.50684517621994019</v>
      </c>
      <c r="V7" s="12">
        <v>2.1043859422206879E-2</v>
      </c>
      <c r="W7" s="16"/>
      <c r="X7" s="16"/>
      <c r="Y7" s="12">
        <v>-6.5078973770141602E-2</v>
      </c>
      <c r="Z7" s="12">
        <v>1.0614964179694653E-2</v>
      </c>
      <c r="AA7" s="12">
        <v>0.26042306423187256</v>
      </c>
      <c r="AB7" s="12">
        <v>8.3332909271121025E-3</v>
      </c>
      <c r="AC7" s="12">
        <v>0.52698194980621338</v>
      </c>
      <c r="AD7" s="12">
        <v>1.3572944328188896E-2</v>
      </c>
      <c r="AE7" s="16"/>
      <c r="AF7" s="12">
        <v>0.321128249168396</v>
      </c>
      <c r="AG7" s="12">
        <v>6.9066137075424194E-2</v>
      </c>
      <c r="AH7" s="12">
        <v>0.34535464644432068</v>
      </c>
      <c r="AI7" s="12">
        <v>5.3059983998537064E-2</v>
      </c>
      <c r="AJ7" s="16"/>
      <c r="AK7" s="12">
        <v>5.0206691026687622E-2</v>
      </c>
      <c r="AL7" s="12">
        <v>3.4473694860935211E-2</v>
      </c>
      <c r="AM7" s="12">
        <v>3.103954903781414E-2</v>
      </c>
      <c r="AN7" s="12">
        <v>2.964944951236248E-2</v>
      </c>
      <c r="AO7" s="16"/>
      <c r="AP7" s="12">
        <v>0.10349220037460327</v>
      </c>
      <c r="AQ7" s="12">
        <v>1.913679763674736E-2</v>
      </c>
      <c r="AR7" s="12">
        <v>9.4431415200233459E-2</v>
      </c>
      <c r="AS7" s="12">
        <v>2.078704908490181E-2</v>
      </c>
      <c r="AT7" s="16"/>
      <c r="AU7" s="12">
        <v>-5.9750080108642578E-2</v>
      </c>
      <c r="AV7" s="12">
        <v>1.3868349604308605E-2</v>
      </c>
      <c r="AW7" s="12">
        <v>-0.14215798676013947</v>
      </c>
      <c r="AX7" s="12">
        <v>1.4914637431502342E-2</v>
      </c>
      <c r="AY7" s="16"/>
      <c r="AZ7" s="17">
        <v>0.21825815737247467</v>
      </c>
      <c r="BA7" s="17">
        <v>5.3727743215858936E-3</v>
      </c>
      <c r="BB7" s="17">
        <v>0.48481705784797668</v>
      </c>
      <c r="BC7" s="17">
        <v>1.2165827676653862E-2</v>
      </c>
    </row>
    <row r="8" spans="1:62" x14ac:dyDescent="0.3">
      <c r="A8">
        <v>2008</v>
      </c>
      <c r="C8" s="12">
        <v>0.52401655912399292</v>
      </c>
      <c r="D8" s="12">
        <v>7.5157652609050274E-3</v>
      </c>
      <c r="E8" s="12">
        <v>0.34706011414527893</v>
      </c>
      <c r="F8" s="12">
        <v>4.0662303566932678E-2</v>
      </c>
      <c r="G8" s="12">
        <v>0.35756990313529968</v>
      </c>
      <c r="H8" s="12">
        <v>3.3328458666801453E-2</v>
      </c>
      <c r="I8" s="16"/>
      <c r="J8" s="12">
        <v>0.60468661785125732</v>
      </c>
      <c r="K8" s="12">
        <v>5.6039225310087204E-3</v>
      </c>
      <c r="L8" s="12">
        <v>0.60672450065612793</v>
      </c>
      <c r="M8" s="12">
        <v>2.4219918996095657E-2</v>
      </c>
      <c r="N8" s="12">
        <v>0.6320260763168335</v>
      </c>
      <c r="O8" s="12">
        <v>1.7067674547433853E-2</v>
      </c>
      <c r="P8" s="16"/>
      <c r="Q8" s="12">
        <v>0.57684463262557983</v>
      </c>
      <c r="R8" s="12">
        <v>4.5798732899129391E-3</v>
      </c>
      <c r="S8" s="12">
        <v>0.49195533990859985</v>
      </c>
      <c r="T8" s="12">
        <v>2.0732089877128601E-2</v>
      </c>
      <c r="U8" s="12">
        <v>0.4960084855556488</v>
      </c>
      <c r="V8" s="12">
        <v>1.6577683389186859E-2</v>
      </c>
      <c r="W8" s="16"/>
      <c r="X8" s="16"/>
      <c r="Y8" s="12">
        <v>-7.1604073047637939E-2</v>
      </c>
      <c r="Z8" s="12">
        <v>1.1488530784845352E-2</v>
      </c>
      <c r="AA8" s="12">
        <v>0.25163465738296509</v>
      </c>
      <c r="AB8" s="12">
        <v>8.9651476591825485E-3</v>
      </c>
      <c r="AC8" s="12">
        <v>0.60173016786575317</v>
      </c>
      <c r="AD8" s="12">
        <v>1.3227208517491817E-2</v>
      </c>
      <c r="AE8" s="16"/>
      <c r="AF8" s="12">
        <v>0.18372452259063721</v>
      </c>
      <c r="AG8" s="12">
        <v>4.3269068002700806E-2</v>
      </c>
      <c r="AH8" s="12">
        <v>0.21254366636276245</v>
      </c>
      <c r="AI8" s="12">
        <v>5.2945774048566818E-2</v>
      </c>
      <c r="AJ8" s="16"/>
      <c r="AK8" s="12">
        <v>0.10098370164632797</v>
      </c>
      <c r="AL8" s="12">
        <v>3.3191703259944916E-2</v>
      </c>
      <c r="AM8" s="12">
        <v>0.10666055232286453</v>
      </c>
      <c r="AN8" s="12">
        <v>2.5603011250495911E-2</v>
      </c>
      <c r="AO8" s="16"/>
      <c r="AP8" s="12">
        <v>7.0538997650146484E-2</v>
      </c>
      <c r="AQ8" s="12">
        <v>2.0465999841690063E-2</v>
      </c>
      <c r="AR8" s="12">
        <v>9.3247368931770325E-2</v>
      </c>
      <c r="AS8" s="12">
        <v>1.8468068912625313E-2</v>
      </c>
      <c r="AT8" s="16"/>
      <c r="AU8" s="12">
        <v>-4.0822029113769531E-2</v>
      </c>
      <c r="AV8" s="12">
        <v>1.4545312151312828E-2</v>
      </c>
      <c r="AW8" s="12">
        <v>-0.12430839985609055</v>
      </c>
      <c r="AX8" s="12">
        <v>1.3041798956692219E-2</v>
      </c>
      <c r="AY8" s="16"/>
      <c r="AZ8" s="17">
        <v>0.20676995813846588</v>
      </c>
      <c r="BA8" s="17">
        <v>5.0826212391257286E-3</v>
      </c>
      <c r="BB8" s="17">
        <v>0.55686545372009277</v>
      </c>
      <c r="BC8" s="17">
        <v>1.0444140993058681E-2</v>
      </c>
    </row>
    <row r="9" spans="1:62" x14ac:dyDescent="0.3">
      <c r="A9">
        <v>2009</v>
      </c>
      <c r="C9" s="12">
        <v>0.56393736600875854</v>
      </c>
      <c r="D9" s="12">
        <v>9.4590336084365845E-3</v>
      </c>
      <c r="E9" s="12">
        <v>0.21890749037265778</v>
      </c>
      <c r="F9" s="12">
        <v>8.3825960755348206E-2</v>
      </c>
      <c r="G9" s="12">
        <v>0.29140779376029968</v>
      </c>
      <c r="H9" s="12">
        <v>4.4919449836015701E-2</v>
      </c>
      <c r="I9" s="16"/>
      <c r="J9" s="12">
        <v>0.56958472728729248</v>
      </c>
      <c r="K9" s="12">
        <v>5.2894409745931625E-3</v>
      </c>
      <c r="L9" s="12">
        <v>0.56621730327606201</v>
      </c>
      <c r="M9" s="12">
        <v>2.8454545885324478E-2</v>
      </c>
      <c r="N9" s="12">
        <v>0.62386864423751831</v>
      </c>
      <c r="O9" s="12">
        <v>1.8602164462208748E-2</v>
      </c>
      <c r="P9" s="16"/>
      <c r="Q9" s="12">
        <v>0.5682494044303894</v>
      </c>
      <c r="R9" s="12">
        <v>4.385798703879118E-3</v>
      </c>
      <c r="S9" s="12">
        <v>0.4725930392742157</v>
      </c>
      <c r="T9" s="12">
        <v>3.0973350629210472E-2</v>
      </c>
      <c r="U9" s="12">
        <v>0.52974444627761841</v>
      </c>
      <c r="V9" s="12">
        <v>1.7820192500948906E-2</v>
      </c>
      <c r="W9" s="16"/>
      <c r="X9" s="16"/>
      <c r="Y9" s="12">
        <v>-4.2414110153913498E-2</v>
      </c>
      <c r="Z9" s="12">
        <v>1.269314531236887E-2</v>
      </c>
      <c r="AA9" s="12">
        <v>0.42769497632980347</v>
      </c>
      <c r="AB9" s="12">
        <v>1.1565018445253372E-2</v>
      </c>
      <c r="AC9" s="12">
        <v>0.73017239570617676</v>
      </c>
      <c r="AD9" s="12">
        <v>1.7432950437068939E-2</v>
      </c>
      <c r="AE9" s="16"/>
      <c r="AF9" s="12">
        <v>0.23513650894165039</v>
      </c>
      <c r="AG9" s="12">
        <v>6.5222188830375671E-2</v>
      </c>
      <c r="AH9" s="12">
        <v>0.21177886426448822</v>
      </c>
      <c r="AI9" s="12">
        <v>7.6240934431552887E-2</v>
      </c>
      <c r="AJ9" s="16"/>
      <c r="AK9" s="12">
        <v>7.0207022130489349E-2</v>
      </c>
      <c r="AL9" s="12">
        <v>3.1226279214024544E-2</v>
      </c>
      <c r="AM9" s="12">
        <v>9.2306099832057953E-2</v>
      </c>
      <c r="AN9" s="12">
        <v>3.2809693366289139E-2</v>
      </c>
      <c r="AO9" s="16"/>
      <c r="AP9" s="12">
        <v>7.0549421012401581E-2</v>
      </c>
      <c r="AQ9" s="12">
        <v>2.1202987059950829E-2</v>
      </c>
      <c r="AR9" s="12">
        <v>7.6975934207439423E-2</v>
      </c>
      <c r="AS9" s="12">
        <v>2.3476855829358101E-2</v>
      </c>
      <c r="AT9" s="16"/>
      <c r="AU9" s="12">
        <v>-8.2328319549560547E-2</v>
      </c>
      <c r="AV9" s="12">
        <v>1.5399050898849964E-2</v>
      </c>
      <c r="AW9" s="12">
        <v>-0.12832222878932953</v>
      </c>
      <c r="AX9" s="12">
        <v>1.2828887440264225E-2</v>
      </c>
      <c r="AY9" s="16"/>
      <c r="AZ9" s="17">
        <v>0.39455518126487732</v>
      </c>
      <c r="BA9" s="17">
        <v>6.0027670115232468E-3</v>
      </c>
      <c r="BB9" s="17">
        <v>0.69703257083892822</v>
      </c>
      <c r="BC9" s="17">
        <v>1.2135009281337261E-2</v>
      </c>
    </row>
    <row r="10" spans="1:62" x14ac:dyDescent="0.3">
      <c r="A10">
        <v>2010</v>
      </c>
      <c r="C10" s="12">
        <v>0.52053016424179077</v>
      </c>
      <c r="D10" s="12">
        <v>8.019530214369297E-3</v>
      </c>
      <c r="E10" s="12">
        <v>0.31291908025741577</v>
      </c>
      <c r="F10" s="12">
        <v>5.3336162120103836E-2</v>
      </c>
      <c r="G10" s="12">
        <v>0.39464455842971802</v>
      </c>
      <c r="H10" s="12">
        <v>4.5360401272773743E-2</v>
      </c>
      <c r="I10" s="16"/>
      <c r="J10" s="12">
        <v>0.57074844837188721</v>
      </c>
      <c r="K10" s="12">
        <v>4.8173586837947369E-3</v>
      </c>
      <c r="L10" s="12">
        <v>0.58930051326751709</v>
      </c>
      <c r="M10" s="12">
        <v>4.3462004512548447E-2</v>
      </c>
      <c r="N10" s="12">
        <v>0.63714540004730225</v>
      </c>
      <c r="O10" s="12">
        <v>1.8209293484687805E-2</v>
      </c>
      <c r="P10" s="16"/>
      <c r="Q10" s="12">
        <v>0.55817782878875732</v>
      </c>
      <c r="R10" s="12">
        <v>3.8944128900766373E-3</v>
      </c>
      <c r="S10" s="12">
        <v>0.5084349513053894</v>
      </c>
      <c r="T10" s="12">
        <v>3.476252406835556E-2</v>
      </c>
      <c r="U10" s="12">
        <v>0.54912549257278442</v>
      </c>
      <c r="V10" s="12">
        <v>1.8862642347812653E-2</v>
      </c>
      <c r="W10" s="16"/>
      <c r="X10" s="16"/>
      <c r="Y10" s="12">
        <v>-1.4104034751653671E-2</v>
      </c>
      <c r="Z10" s="12">
        <v>1.3207902200520039E-2</v>
      </c>
      <c r="AA10" s="12">
        <v>0.26706832647323608</v>
      </c>
      <c r="AB10" s="12">
        <v>9.3502858653664589E-3</v>
      </c>
      <c r="AC10" s="12">
        <v>0.60596072673797607</v>
      </c>
      <c r="AD10" s="12">
        <v>1.4267073944211006E-2</v>
      </c>
      <c r="AE10" s="16"/>
      <c r="AF10" s="12">
        <v>0.23031304776668549</v>
      </c>
      <c r="AG10" s="12">
        <v>7.1059234440326691E-2</v>
      </c>
      <c r="AH10" s="12">
        <v>0.25363188982009888</v>
      </c>
      <c r="AI10" s="12">
        <v>7.2270169854164124E-2</v>
      </c>
      <c r="AJ10" s="16"/>
      <c r="AK10" s="12">
        <v>0.10887505114078522</v>
      </c>
      <c r="AL10" s="12">
        <v>3.39692123234272E-2</v>
      </c>
      <c r="AM10" s="12">
        <v>9.5329515635967255E-2</v>
      </c>
      <c r="AN10" s="12">
        <v>3.0766857787966728E-2</v>
      </c>
      <c r="AO10" s="16"/>
      <c r="AP10" s="12">
        <v>8.5208810865879059E-2</v>
      </c>
      <c r="AQ10" s="12">
        <v>1.913800835609436E-2</v>
      </c>
      <c r="AR10" s="12">
        <v>7.6022729277610779E-2</v>
      </c>
      <c r="AS10" s="12">
        <v>2.3136155679821968E-2</v>
      </c>
      <c r="AT10" s="16"/>
      <c r="AU10" s="12">
        <v>-7.9832553863525391E-2</v>
      </c>
      <c r="AV10" s="12">
        <v>1.4703577384352684E-2</v>
      </c>
      <c r="AW10" s="12">
        <v>-0.11529112607240677</v>
      </c>
      <c r="AX10" s="12">
        <v>1.48567920550704E-2</v>
      </c>
      <c r="AY10" s="16"/>
      <c r="AZ10" s="17">
        <v>0.25670954585075378</v>
      </c>
      <c r="BA10" s="17">
        <v>5.3184535354375839E-3</v>
      </c>
      <c r="BB10" s="17">
        <v>0.59560197591781616</v>
      </c>
      <c r="BC10" s="17">
        <v>1.1922799050807953E-2</v>
      </c>
    </row>
    <row r="11" spans="1:62" x14ac:dyDescent="0.3">
      <c r="A11">
        <v>2011</v>
      </c>
      <c r="C11" s="12">
        <v>0.54534405469894409</v>
      </c>
      <c r="D11" s="12">
        <v>8.2352068275213242E-3</v>
      </c>
      <c r="E11" s="12">
        <v>0.31399405002593994</v>
      </c>
      <c r="F11" s="12">
        <v>5.5850367993116379E-2</v>
      </c>
      <c r="G11" s="12">
        <v>0.35128486156463623</v>
      </c>
      <c r="H11" s="12">
        <v>5.2780676633119583E-2</v>
      </c>
      <c r="I11" s="16"/>
      <c r="J11" s="12">
        <v>0.56768602132797241</v>
      </c>
      <c r="K11" s="12">
        <v>4.7167823649942875E-3</v>
      </c>
      <c r="L11" s="12">
        <v>0.48643884062767029</v>
      </c>
      <c r="M11" s="12">
        <v>3.3440433442592621E-2</v>
      </c>
      <c r="N11" s="12">
        <v>0.54090428352355957</v>
      </c>
      <c r="O11" s="12">
        <v>2.3328693583607674E-2</v>
      </c>
      <c r="P11" s="16"/>
      <c r="Q11" s="12">
        <v>0.5628502368927002</v>
      </c>
      <c r="R11" s="12">
        <v>4.7173756174743176E-3</v>
      </c>
      <c r="S11" s="12">
        <v>0.42263060808181763</v>
      </c>
      <c r="T11" s="12">
        <v>3.0939152464270592E-2</v>
      </c>
      <c r="U11" s="12">
        <v>0.46486574411392212</v>
      </c>
      <c r="V11" s="12">
        <v>2.1487178280949593E-2</v>
      </c>
      <c r="W11" s="16"/>
      <c r="X11" s="16"/>
      <c r="Y11" s="12">
        <v>-2.9902208596467972E-2</v>
      </c>
      <c r="Z11" s="12">
        <v>1.4178859069943428E-2</v>
      </c>
      <c r="AA11" s="12">
        <v>0.28281095623970032</v>
      </c>
      <c r="AB11" s="12">
        <v>1.2525429017841816E-2</v>
      </c>
      <c r="AC11" s="12">
        <v>0.65654367208480835</v>
      </c>
      <c r="AD11" s="12">
        <v>1.5355609357357025E-2</v>
      </c>
      <c r="AE11" s="16"/>
      <c r="AF11" s="12">
        <v>0.1784503161907196</v>
      </c>
      <c r="AG11" s="12">
        <v>7.8994639217853546E-2</v>
      </c>
      <c r="AH11" s="12">
        <v>0.19228595495223999</v>
      </c>
      <c r="AI11" s="12">
        <v>6.8109139800071716E-2</v>
      </c>
      <c r="AJ11" s="16"/>
      <c r="AK11" s="12">
        <v>8.4299065172672272E-2</v>
      </c>
      <c r="AL11" s="12">
        <v>3.2738041132688522E-2</v>
      </c>
      <c r="AM11" s="12">
        <v>7.0315755903720856E-2</v>
      </c>
      <c r="AN11" s="12">
        <v>3.6689050495624542E-2</v>
      </c>
      <c r="AO11" s="16"/>
      <c r="AP11" s="12">
        <v>0.10517077893018723</v>
      </c>
      <c r="AQ11" s="12">
        <v>2.2378316149115562E-2</v>
      </c>
      <c r="AR11" s="12">
        <v>0.1011190190911293</v>
      </c>
      <c r="AS11" s="12">
        <v>2.2864209488034248E-2</v>
      </c>
      <c r="AT11" s="16"/>
      <c r="AU11" s="12">
        <v>-3.8480758666992188E-2</v>
      </c>
      <c r="AV11" s="12">
        <v>1.7702935263514519E-2</v>
      </c>
      <c r="AW11" s="12">
        <v>-5.6407935917377472E-2</v>
      </c>
      <c r="AX11" s="12">
        <v>1.3632215559482574E-2</v>
      </c>
      <c r="AY11" s="16"/>
      <c r="AZ11" s="17">
        <v>0.26021945476531982</v>
      </c>
      <c r="BA11" s="17">
        <v>6.30184356123209E-3</v>
      </c>
      <c r="BB11" s="17">
        <v>0.63395214080810547</v>
      </c>
      <c r="BC11" s="17">
        <v>1.3052246533334255E-2</v>
      </c>
    </row>
    <row r="12" spans="1:62" x14ac:dyDescent="0.3">
      <c r="A12">
        <v>2012</v>
      </c>
      <c r="C12" s="12">
        <v>0.5141226053237915</v>
      </c>
      <c r="D12" s="12">
        <v>7.9224929213523865E-3</v>
      </c>
      <c r="E12" s="12">
        <v>0.2495485246181488</v>
      </c>
      <c r="F12" s="12">
        <v>4.7254614531993866E-2</v>
      </c>
      <c r="G12" s="12">
        <v>0.26026082038879395</v>
      </c>
      <c r="H12" s="12">
        <v>4.5591101050376892E-2</v>
      </c>
      <c r="I12" s="16"/>
      <c r="J12" s="12">
        <v>0.57995212078094482</v>
      </c>
      <c r="K12" s="12">
        <v>6.5099950879812241E-3</v>
      </c>
      <c r="L12" s="12">
        <v>0.5509372353553772</v>
      </c>
      <c r="M12" s="12">
        <v>4.541580006480217E-2</v>
      </c>
      <c r="N12" s="12">
        <v>0.54671329259872437</v>
      </c>
      <c r="O12" s="12">
        <v>1.944841630756855E-2</v>
      </c>
      <c r="P12" s="16"/>
      <c r="Q12" s="12">
        <v>0.55879324674606323</v>
      </c>
      <c r="R12" s="12">
        <v>5.3494945168495178E-3</v>
      </c>
      <c r="S12" s="12">
        <v>0.46766483783721924</v>
      </c>
      <c r="T12" s="12">
        <v>5.0284076482057571E-2</v>
      </c>
      <c r="U12" s="12">
        <v>0.42995640635490417</v>
      </c>
      <c r="V12" s="12">
        <v>1.8341224640607834E-2</v>
      </c>
      <c r="W12" s="16"/>
      <c r="X12" s="16"/>
      <c r="Y12" s="12">
        <v>-1.037601288408041E-2</v>
      </c>
      <c r="Z12" s="12">
        <v>1.3441859744489193E-2</v>
      </c>
      <c r="AA12" s="12">
        <v>0.22799673676490784</v>
      </c>
      <c r="AB12" s="12">
        <v>9.6690328791737556E-3</v>
      </c>
      <c r="AC12" s="12">
        <v>0.7932092547416687</v>
      </c>
      <c r="AD12" s="12">
        <v>1.4796584844589233E-2</v>
      </c>
      <c r="AE12" s="16"/>
      <c r="AF12" s="12">
        <v>0.13839069008827209</v>
      </c>
      <c r="AG12" s="12">
        <v>6.4479149878025055E-2</v>
      </c>
      <c r="AH12" s="12">
        <v>0.11017868667840958</v>
      </c>
      <c r="AI12" s="12">
        <v>7.3040097951889038E-2</v>
      </c>
      <c r="AJ12" s="16"/>
      <c r="AK12" s="12">
        <v>0.11249217391014099</v>
      </c>
      <c r="AL12" s="12">
        <v>3.5301543772220612E-2</v>
      </c>
      <c r="AM12" s="12">
        <v>0.11014071851968765</v>
      </c>
      <c r="AN12" s="12">
        <v>3.4713298082351685E-2</v>
      </c>
      <c r="AO12" s="16"/>
      <c r="AP12" s="12">
        <v>0.10909683257341385</v>
      </c>
      <c r="AQ12" s="12">
        <v>2.0051503553986549E-2</v>
      </c>
      <c r="AR12" s="12">
        <v>0.10888400673866272</v>
      </c>
      <c r="AS12" s="12">
        <v>2.4116439744830132E-2</v>
      </c>
      <c r="AT12" s="16"/>
      <c r="AU12" s="12">
        <v>-7.0428848266601563E-3</v>
      </c>
      <c r="AV12" s="12">
        <v>9.8522156476974487E-3</v>
      </c>
      <c r="AW12" s="12">
        <v>-3.6497462540864944E-2</v>
      </c>
      <c r="AX12" s="12">
        <v>1.3701844029128551E-2</v>
      </c>
      <c r="AY12" s="16"/>
      <c r="AZ12" s="17">
        <v>0.22165149450302124</v>
      </c>
      <c r="BA12" s="17">
        <v>5.4884175769984722E-3</v>
      </c>
      <c r="BB12" s="17">
        <v>0.78686398267745972</v>
      </c>
      <c r="BC12" s="17">
        <v>1.3815880753099918E-2</v>
      </c>
    </row>
    <row r="13" spans="1:62" x14ac:dyDescent="0.3">
      <c r="A13">
        <v>2013</v>
      </c>
      <c r="C13" s="12">
        <v>0.54383552074432373</v>
      </c>
      <c r="D13" s="12">
        <v>1.0130397044122219E-2</v>
      </c>
      <c r="E13" s="12">
        <v>0.33255082368850708</v>
      </c>
      <c r="F13" s="12">
        <v>4.7197658568620682E-2</v>
      </c>
      <c r="G13" s="12">
        <v>0.31769153475761414</v>
      </c>
      <c r="H13" s="12">
        <v>4.2787406593561172E-2</v>
      </c>
      <c r="I13" s="16"/>
      <c r="J13" s="12">
        <v>0.54978418350219727</v>
      </c>
      <c r="K13" s="12">
        <v>6.0817352496087551E-3</v>
      </c>
      <c r="L13" s="12">
        <v>0.45605993270874023</v>
      </c>
      <c r="M13" s="12">
        <v>3.2680761069059372E-2</v>
      </c>
      <c r="N13" s="12">
        <v>0.51933616399765015</v>
      </c>
      <c r="O13" s="12">
        <v>2.3177076131105423E-2</v>
      </c>
      <c r="P13" s="16"/>
      <c r="Q13" s="12">
        <v>0.54857957363128662</v>
      </c>
      <c r="R13" s="12">
        <v>5.2409828640520573E-3</v>
      </c>
      <c r="S13" s="12">
        <v>0.39444524049758911</v>
      </c>
      <c r="T13" s="12">
        <v>3.1617932021617889E-2</v>
      </c>
      <c r="U13" s="12">
        <v>0.43906879425048828</v>
      </c>
      <c r="V13" s="12">
        <v>2.0939329639077187E-2</v>
      </c>
      <c r="W13" s="16"/>
      <c r="X13" s="16"/>
      <c r="Y13" s="12">
        <v>9.3135517090559006E-3</v>
      </c>
      <c r="Z13" s="12">
        <v>1.1459660716354847E-2</v>
      </c>
      <c r="AA13" s="12">
        <v>0.31783434748649597</v>
      </c>
      <c r="AB13" s="12">
        <v>1.0857930406928062E-2</v>
      </c>
      <c r="AC13" s="12">
        <v>0.92171549797058105</v>
      </c>
      <c r="AD13" s="12">
        <v>1.7821233719587326E-2</v>
      </c>
      <c r="AE13" s="16"/>
      <c r="AF13" s="12">
        <v>0.14287775754928589</v>
      </c>
      <c r="AG13" s="12">
        <v>6.1177890747785568E-2</v>
      </c>
      <c r="AH13" s="12">
        <v>0.15936227142810822</v>
      </c>
      <c r="AI13" s="12">
        <v>6.8365223705768585E-2</v>
      </c>
      <c r="AJ13" s="16"/>
      <c r="AK13" s="12">
        <v>0.10152430087327957</v>
      </c>
      <c r="AL13" s="12">
        <v>4.1526861488819122E-2</v>
      </c>
      <c r="AM13" s="12">
        <v>0.10280285030603409</v>
      </c>
      <c r="AN13" s="12">
        <v>4.3902356177568436E-2</v>
      </c>
      <c r="AO13" s="16"/>
      <c r="AP13" s="12">
        <v>8.4286749362945557E-2</v>
      </c>
      <c r="AQ13" s="12">
        <v>2.5366337969899178E-2</v>
      </c>
      <c r="AR13" s="12">
        <v>8.1559307873249054E-2</v>
      </c>
      <c r="AS13" s="12">
        <v>2.4939674884080887E-2</v>
      </c>
      <c r="AT13" s="16"/>
      <c r="AU13" s="12">
        <v>-3.4063816070556641E-2</v>
      </c>
      <c r="AV13" s="12">
        <v>1.9613415002822876E-2</v>
      </c>
      <c r="AW13" s="12">
        <v>-5.041215568780899E-2</v>
      </c>
      <c r="AX13" s="12">
        <v>1.2915639206767082E-2</v>
      </c>
      <c r="AY13" s="16"/>
      <c r="AZ13" s="17">
        <v>0.32385140657424927</v>
      </c>
      <c r="BA13" s="17">
        <v>4.9022515304386616E-3</v>
      </c>
      <c r="BB13" s="17">
        <v>0.92773252725601196</v>
      </c>
      <c r="BC13" s="17">
        <v>1.4002131298184395E-2</v>
      </c>
    </row>
    <row r="16" spans="1:62" x14ac:dyDescent="0.3">
      <c r="AC16" s="9">
        <f>Y4+AC4</f>
        <v>0.30098042637109756</v>
      </c>
    </row>
    <row r="17" spans="27:29" x14ac:dyDescent="0.3">
      <c r="AC17" s="9"/>
    </row>
    <row r="19" spans="27:29" x14ac:dyDescent="0.3">
      <c r="AA19" s="9"/>
      <c r="AC19" s="9"/>
    </row>
  </sheetData>
  <mergeCells count="10">
    <mergeCell ref="BH1:BJ1"/>
    <mergeCell ref="BD1:BF1"/>
    <mergeCell ref="AZ1:BB1"/>
    <mergeCell ref="AP1:AR1"/>
    <mergeCell ref="C1:G1"/>
    <mergeCell ref="J1:N1"/>
    <mergeCell ref="Q1:U1"/>
    <mergeCell ref="Y1:AC1"/>
    <mergeCell ref="AK1:AM1"/>
    <mergeCell ref="AF1:AH1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3"/>
  <sheetViews>
    <sheetView workbookViewId="0">
      <selection activeCell="L25" sqref="L25"/>
    </sheetView>
  </sheetViews>
  <sheetFormatPr defaultColWidth="8.77734375" defaultRowHeight="14.4" x14ac:dyDescent="0.3"/>
  <sheetData>
    <row r="1" spans="1:21" x14ac:dyDescent="0.3">
      <c r="B1" s="21" t="s">
        <v>3</v>
      </c>
      <c r="C1" s="21"/>
      <c r="D1" s="21"/>
      <c r="E1" s="21"/>
      <c r="F1" s="21"/>
      <c r="G1" s="21"/>
      <c r="H1" s="21"/>
      <c r="I1" s="21"/>
      <c r="J1" s="21" t="s">
        <v>0</v>
      </c>
      <c r="K1" s="21"/>
      <c r="L1" s="21"/>
      <c r="M1" s="21"/>
      <c r="N1" s="21" t="s">
        <v>6</v>
      </c>
      <c r="O1" s="21"/>
      <c r="P1" s="21"/>
      <c r="Q1" s="21"/>
      <c r="R1" s="21" t="s">
        <v>7</v>
      </c>
      <c r="S1" s="21"/>
      <c r="T1" s="21"/>
      <c r="U1" s="21"/>
    </row>
    <row r="2" spans="1:21" x14ac:dyDescent="0.3">
      <c r="B2" t="s">
        <v>4</v>
      </c>
      <c r="D2" t="s">
        <v>5</v>
      </c>
      <c r="F2" t="s">
        <v>14</v>
      </c>
      <c r="H2" t="s">
        <v>8</v>
      </c>
      <c r="J2" t="s">
        <v>1</v>
      </c>
      <c r="L2" t="s">
        <v>2</v>
      </c>
      <c r="N2" t="s">
        <v>1</v>
      </c>
      <c r="P2" t="s">
        <v>2</v>
      </c>
      <c r="R2" t="s">
        <v>1</v>
      </c>
      <c r="T2" t="s">
        <v>2</v>
      </c>
    </row>
    <row r="3" spans="1:21" x14ac:dyDescent="0.3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x14ac:dyDescent="0.3">
      <c r="A4">
        <v>2004</v>
      </c>
      <c r="B4" s="15">
        <v>-0.16376210749149323</v>
      </c>
      <c r="C4" s="15">
        <v>2.5675320997834206E-2</v>
      </c>
      <c r="D4" s="15">
        <v>-8.7825730443000793E-2</v>
      </c>
      <c r="E4" s="15">
        <v>2.0008524879813194E-2</v>
      </c>
      <c r="F4" s="15">
        <v>-0.1454414576292038</v>
      </c>
      <c r="G4" s="15">
        <v>1.5595205128192902E-2</v>
      </c>
      <c r="H4" s="15">
        <v>6.7673914134502411E-2</v>
      </c>
      <c r="I4" s="15">
        <v>1.5674522146582603E-2</v>
      </c>
      <c r="J4" s="15">
        <v>-9.1154545545578003E-2</v>
      </c>
      <c r="K4" s="15">
        <v>1.5390625223517418E-2</v>
      </c>
      <c r="L4" s="15">
        <v>-1.5218168497085571E-2</v>
      </c>
      <c r="M4" s="15">
        <v>2.7605460956692696E-2</v>
      </c>
      <c r="N4" s="15">
        <v>0.358258455991745</v>
      </c>
      <c r="O4" s="15">
        <v>1.1185508221387863E-2</v>
      </c>
      <c r="P4" s="15">
        <v>0.44608417153358459</v>
      </c>
      <c r="Q4" s="15">
        <v>1.73789132386446E-2</v>
      </c>
      <c r="R4" s="15">
        <v>0.33685022592544556</v>
      </c>
      <c r="S4" s="15">
        <v>1.6842862591147423E-2</v>
      </c>
      <c r="T4" s="15">
        <v>0.49234986305236816</v>
      </c>
      <c r="U4" s="15">
        <v>2.4172134697437286E-2</v>
      </c>
    </row>
    <row r="5" spans="1:21" x14ac:dyDescent="0.3">
      <c r="A5">
        <v>2005</v>
      </c>
      <c r="B5" s="12">
        <v>-0.17306390404701233</v>
      </c>
      <c r="C5" s="12">
        <v>2.2513015195727348E-2</v>
      </c>
      <c r="D5" s="12">
        <v>-6.2973521649837494E-2</v>
      </c>
      <c r="E5" s="12">
        <v>1.9169533625245094E-2</v>
      </c>
      <c r="F5" s="12">
        <v>-0.13404759764671326</v>
      </c>
      <c r="G5" s="12">
        <v>1.3853787444531918E-2</v>
      </c>
      <c r="H5" s="12">
        <v>9.4188153743743896E-2</v>
      </c>
      <c r="I5" s="12">
        <v>1.6892561689019203E-2</v>
      </c>
      <c r="J5" s="12">
        <v>-9.6872270107269287E-2</v>
      </c>
      <c r="K5" s="12">
        <v>1.1679281480610371E-2</v>
      </c>
      <c r="L5" s="12">
        <v>1.3218117877840996E-2</v>
      </c>
      <c r="M5" s="12">
        <v>2.5993555784225464E-2</v>
      </c>
      <c r="N5" s="12">
        <v>0.41062191128730774</v>
      </c>
      <c r="O5" s="12">
        <v>8.3645759150385857E-3</v>
      </c>
      <c r="P5" s="12">
        <v>0.47359544038772583</v>
      </c>
      <c r="Q5" s="12">
        <v>1.6725927591323853E-2</v>
      </c>
      <c r="R5" s="12">
        <v>0.46346008777618408</v>
      </c>
      <c r="S5" s="12">
        <v>1.6511019319295883E-2</v>
      </c>
      <c r="T5" s="12">
        <v>0.62062174081802368</v>
      </c>
      <c r="U5" s="12">
        <v>1.8373612314462662E-2</v>
      </c>
    </row>
    <row r="6" spans="1:21" x14ac:dyDescent="0.3">
      <c r="A6">
        <v>2006</v>
      </c>
      <c r="B6" s="12">
        <v>-0.12816238403320313</v>
      </c>
      <c r="C6" s="12">
        <v>2.089080773293972E-2</v>
      </c>
      <c r="D6" s="12">
        <v>-6.2842816114425659E-3</v>
      </c>
      <c r="E6" s="12">
        <v>1.9658269360661507E-2</v>
      </c>
      <c r="F6" s="12">
        <v>-8.5413239896297455E-2</v>
      </c>
      <c r="G6" s="12">
        <v>1.2746079824864864E-2</v>
      </c>
      <c r="H6" s="12">
        <v>0.10392485558986664</v>
      </c>
      <c r="I6" s="12">
        <v>1.6985772177577019E-2</v>
      </c>
      <c r="J6" s="12">
        <v>-7.334224134683609E-2</v>
      </c>
      <c r="K6" s="12">
        <v>1.2524236924946308E-2</v>
      </c>
      <c r="L6" s="12">
        <v>4.8535868525505066E-2</v>
      </c>
      <c r="M6" s="12">
        <v>2.5451606139540672E-2</v>
      </c>
      <c r="N6" s="12">
        <v>0.33202588558197021</v>
      </c>
      <c r="O6" s="12">
        <v>1.0454523377120495E-2</v>
      </c>
      <c r="P6" s="12">
        <v>0.33831018209457397</v>
      </c>
      <c r="Q6" s="12">
        <v>1.7926506698131561E-2</v>
      </c>
      <c r="R6" s="12">
        <v>0.51396042108535767</v>
      </c>
      <c r="S6" s="12">
        <v>1.8027542158961296E-2</v>
      </c>
      <c r="T6" s="12">
        <v>0.62416952848434448</v>
      </c>
      <c r="U6" s="12">
        <v>1.9961338490247726E-2</v>
      </c>
    </row>
    <row r="7" spans="1:21" x14ac:dyDescent="0.3">
      <c r="A7">
        <v>2007</v>
      </c>
      <c r="B7" s="12">
        <v>-0.1590869277715683</v>
      </c>
      <c r="C7" s="12">
        <v>2.3240923881530762E-2</v>
      </c>
      <c r="D7" s="12">
        <v>-2.3840002715587616E-2</v>
      </c>
      <c r="E7" s="12">
        <v>1.8574615940451622E-2</v>
      </c>
      <c r="F7" s="12">
        <v>-0.10796314477920532</v>
      </c>
      <c r="G7" s="12">
        <v>1.5000983141362667E-2</v>
      </c>
      <c r="H7" s="12">
        <v>9.7371317446231842E-2</v>
      </c>
      <c r="I7" s="12">
        <v>2.0267214626073837E-2</v>
      </c>
      <c r="J7" s="12">
        <v>-8.0876998603343964E-2</v>
      </c>
      <c r="K7" s="12">
        <v>1.2919103726744652E-2</v>
      </c>
      <c r="L7" s="12">
        <v>5.4369926452636719E-2</v>
      </c>
      <c r="M7" s="12">
        <v>2.5614082813262939E-2</v>
      </c>
      <c r="N7" s="12">
        <v>0.25546097755432129</v>
      </c>
      <c r="O7" s="12">
        <v>1.1539062485098839E-2</v>
      </c>
      <c r="P7" s="12">
        <v>0.27930095791816711</v>
      </c>
      <c r="Q7" s="12">
        <v>1.4991612173616886E-2</v>
      </c>
      <c r="R7" s="12">
        <v>0.46146160364151001</v>
      </c>
      <c r="S7" s="12">
        <v>1.9517078995704651E-2</v>
      </c>
      <c r="T7" s="12">
        <v>0.58209747076034546</v>
      </c>
      <c r="U7" s="12">
        <v>1.9532617181539536E-2</v>
      </c>
    </row>
    <row r="8" spans="1:21" x14ac:dyDescent="0.3">
      <c r="A8">
        <v>2008</v>
      </c>
      <c r="B8" s="12">
        <v>-0.18189117312431335</v>
      </c>
      <c r="C8" s="12">
        <v>2.252793125808239E-2</v>
      </c>
      <c r="D8" s="12">
        <v>-4.8769678920507431E-2</v>
      </c>
      <c r="E8" s="12">
        <v>2.0081588998436928E-2</v>
      </c>
      <c r="F8" s="12">
        <v>-0.12968644499778748</v>
      </c>
      <c r="G8" s="12">
        <v>1.3976343907415867E-2</v>
      </c>
      <c r="H8" s="12">
        <v>0.13578060269355774</v>
      </c>
      <c r="I8" s="12">
        <v>2.213243767619133E-2</v>
      </c>
      <c r="J8" s="12">
        <v>-8.0492541193962097E-2</v>
      </c>
      <c r="K8" s="12">
        <v>1.3157431036233902E-2</v>
      </c>
      <c r="L8" s="12">
        <v>5.2628953009843826E-2</v>
      </c>
      <c r="M8" s="12">
        <v>2.3528546094894409E-2</v>
      </c>
      <c r="N8" s="12">
        <v>0.23666985332965851</v>
      </c>
      <c r="O8" s="12">
        <v>1.2499017640948296E-2</v>
      </c>
      <c r="P8" s="12">
        <v>0.28543952107429504</v>
      </c>
      <c r="Q8" s="12">
        <v>1.6381321474909782E-2</v>
      </c>
      <c r="R8" s="12">
        <v>0.49665650725364685</v>
      </c>
      <c r="S8" s="12">
        <v>1.9101368263363838E-2</v>
      </c>
      <c r="T8" s="12">
        <v>0.68120676279067993</v>
      </c>
      <c r="U8" s="12">
        <v>2.1365994587540627E-2</v>
      </c>
    </row>
    <row r="9" spans="1:21" x14ac:dyDescent="0.3">
      <c r="A9">
        <v>2009</v>
      </c>
      <c r="B9" s="12">
        <v>-0.11115152388811111</v>
      </c>
      <c r="C9" s="12">
        <v>2.1734800189733505E-2</v>
      </c>
      <c r="D9" s="12">
        <v>-3.065214492380619E-2</v>
      </c>
      <c r="E9" s="12">
        <v>2.6049420237541199E-2</v>
      </c>
      <c r="F9" s="12">
        <v>-8.8246181607246399E-2</v>
      </c>
      <c r="G9" s="12">
        <v>1.5988223254680634E-2</v>
      </c>
      <c r="H9" s="12">
        <v>0.12489631772041321</v>
      </c>
      <c r="I9" s="12">
        <v>2.4772217497229576E-2</v>
      </c>
      <c r="J9" s="12">
        <v>-4.756585881114006E-2</v>
      </c>
      <c r="K9" s="12">
        <v>1.4425445348024368E-2</v>
      </c>
      <c r="L9" s="12">
        <v>3.2933514565229416E-2</v>
      </c>
      <c r="M9" s="12">
        <v>2.9136843979358673E-2</v>
      </c>
      <c r="N9" s="12">
        <v>0.41931596398353577</v>
      </c>
      <c r="O9" s="12">
        <v>1.1994125321507454E-2</v>
      </c>
      <c r="P9" s="12">
        <v>0.44996809959411621</v>
      </c>
      <c r="Q9" s="12">
        <v>2.1745933219790459E-2</v>
      </c>
      <c r="R9" s="12">
        <v>0.63646256923675537</v>
      </c>
      <c r="S9" s="12">
        <v>2.3724988102912903E-2</v>
      </c>
      <c r="T9" s="12">
        <v>0.79201102256774902</v>
      </c>
      <c r="U9" s="12">
        <v>2.2708630189299583E-2</v>
      </c>
    </row>
    <row r="10" spans="1:21" x14ac:dyDescent="0.3">
      <c r="A10">
        <v>2010</v>
      </c>
      <c r="B10" s="12">
        <v>-0.11370489746332169</v>
      </c>
      <c r="C10" s="12">
        <v>1.7834091559052467E-2</v>
      </c>
      <c r="D10" s="12">
        <v>-7.7355422079563141E-2</v>
      </c>
      <c r="E10" s="12">
        <v>2.4993894621729851E-2</v>
      </c>
      <c r="F10" s="12">
        <v>-9.8297946155071259E-2</v>
      </c>
      <c r="G10" s="12">
        <v>1.3268217444419861E-2</v>
      </c>
      <c r="H10" s="12">
        <v>0.10819178819656372</v>
      </c>
      <c r="I10" s="12">
        <v>2.5198297575116158E-2</v>
      </c>
      <c r="J10" s="12">
        <v>-1.0876007378101349E-2</v>
      </c>
      <c r="K10" s="12">
        <v>1.2273969128727913E-2</v>
      </c>
      <c r="L10" s="12">
        <v>2.5473468005657196E-2</v>
      </c>
      <c r="M10" s="12">
        <v>2.6199039071798325E-2</v>
      </c>
      <c r="N10" s="12">
        <v>0.2465287446975708</v>
      </c>
      <c r="O10" s="12">
        <v>1.2264308519661427E-2</v>
      </c>
      <c r="P10" s="12">
        <v>0.32388415932655334</v>
      </c>
      <c r="Q10" s="12">
        <v>2.2176103666424751E-2</v>
      </c>
      <c r="R10" s="12">
        <v>0.50851505994796753</v>
      </c>
      <c r="S10" s="12">
        <v>2.5402352213859558E-2</v>
      </c>
      <c r="T10" s="12">
        <v>0.69406229257583618</v>
      </c>
      <c r="U10" s="12">
        <v>2.3176362738013268E-2</v>
      </c>
    </row>
    <row r="11" spans="1:21" x14ac:dyDescent="0.3">
      <c r="A11">
        <v>2011</v>
      </c>
      <c r="B11" s="12">
        <v>-7.5131140649318695E-2</v>
      </c>
      <c r="C11" s="12">
        <v>1.7897242680191994E-2</v>
      </c>
      <c r="D11" s="12">
        <v>-5.022434052079916E-3</v>
      </c>
      <c r="E11" s="12">
        <v>2.6732413098216057E-2</v>
      </c>
      <c r="F11" s="12">
        <v>-5.648363009095192E-2</v>
      </c>
      <c r="G11" s="12">
        <v>1.3413619250059128E-2</v>
      </c>
      <c r="H11" s="12">
        <v>0.17272323369979858</v>
      </c>
      <c r="I11" s="12">
        <v>2.7917772531509399E-2</v>
      </c>
      <c r="J11" s="12">
        <v>-4.0720697492361069E-2</v>
      </c>
      <c r="K11" s="12">
        <v>1.4878869988024235E-2</v>
      </c>
      <c r="L11" s="12">
        <v>2.9388008639216423E-2</v>
      </c>
      <c r="M11" s="12">
        <v>2.8273435309529305E-2</v>
      </c>
      <c r="N11" s="12">
        <v>0.28108540177345276</v>
      </c>
      <c r="O11" s="12">
        <v>1.2140189297497272E-2</v>
      </c>
      <c r="P11" s="12">
        <v>0.28610783815383911</v>
      </c>
      <c r="Q11" s="12">
        <v>2.1182386204600334E-2</v>
      </c>
      <c r="R11" s="12">
        <v>0.53124576807022095</v>
      </c>
      <c r="S11" s="12">
        <v>3.0295887961983681E-2</v>
      </c>
      <c r="T11" s="12">
        <v>0.7089914083480835</v>
      </c>
      <c r="U11" s="12">
        <v>2.6976669207215309E-2</v>
      </c>
    </row>
    <row r="12" spans="1:21" x14ac:dyDescent="0.3">
      <c r="A12">
        <v>2012</v>
      </c>
      <c r="B12" s="12">
        <v>-7.3346376419067383E-2</v>
      </c>
      <c r="C12" s="12">
        <v>1.9603071734309196E-2</v>
      </c>
      <c r="D12" s="12">
        <v>-2.3256178945302963E-2</v>
      </c>
      <c r="E12" s="12">
        <v>2.3062331601977348E-2</v>
      </c>
      <c r="F12" s="12">
        <v>-5.7878509163856506E-2</v>
      </c>
      <c r="G12" s="12">
        <v>1.4726205728948116E-2</v>
      </c>
      <c r="H12" s="12">
        <v>0.16318991780281067</v>
      </c>
      <c r="I12" s="12">
        <v>3.0609441921114922E-2</v>
      </c>
      <c r="J12" s="12">
        <v>-1.7832698300480843E-2</v>
      </c>
      <c r="K12" s="12">
        <v>1.4362098649144173E-2</v>
      </c>
      <c r="L12" s="12">
        <v>3.2257504761219025E-2</v>
      </c>
      <c r="M12" s="12">
        <v>2.2834319621324539E-2</v>
      </c>
      <c r="N12" s="12">
        <v>0.2235308438539505</v>
      </c>
      <c r="O12" s="12">
        <v>1.2020640075206757E-2</v>
      </c>
      <c r="P12" s="12">
        <v>0.24678701162338257</v>
      </c>
      <c r="Q12" s="12">
        <v>2.0599063485860825E-2</v>
      </c>
      <c r="R12" s="12">
        <v>0.66980147361755371</v>
      </c>
      <c r="S12" s="12">
        <v>2.6245083659887314E-2</v>
      </c>
      <c r="T12" s="12">
        <v>0.85624754428863525</v>
      </c>
      <c r="U12" s="12">
        <v>2.6147959753870964E-2</v>
      </c>
    </row>
    <row r="13" spans="1:21" x14ac:dyDescent="0.3">
      <c r="A13">
        <v>2013</v>
      </c>
      <c r="B13" s="12">
        <v>-2.7826128527522087E-2</v>
      </c>
      <c r="C13" s="12">
        <v>1.7117865383625031E-2</v>
      </c>
      <c r="D13" s="12">
        <v>-3.4625578671693802E-2</v>
      </c>
      <c r="E13" s="12">
        <v>2.3609325289726257E-2</v>
      </c>
      <c r="F13" s="12">
        <v>-2.8039390221238136E-2</v>
      </c>
      <c r="G13" s="12">
        <v>1.3395045883953571E-2</v>
      </c>
      <c r="H13" s="12">
        <v>0.24486738443374634</v>
      </c>
      <c r="I13" s="12">
        <v>3.1176742166280746E-2</v>
      </c>
      <c r="J13" s="12">
        <v>1.6192382201552391E-2</v>
      </c>
      <c r="K13" s="12">
        <v>1.5890602022409439E-2</v>
      </c>
      <c r="L13" s="12">
        <v>9.3929311260581017E-3</v>
      </c>
      <c r="M13" s="12">
        <v>2.474549412727356E-2</v>
      </c>
      <c r="N13" s="12">
        <v>0.30637368559837341</v>
      </c>
      <c r="O13" s="12">
        <v>1.3166136108338833E-2</v>
      </c>
      <c r="P13" s="12">
        <v>0.34099927544593811</v>
      </c>
      <c r="Q13" s="12">
        <v>1.8934603780508041E-2</v>
      </c>
      <c r="R13" s="12">
        <v>0.72727632522583008</v>
      </c>
      <c r="S13" s="12">
        <v>3.2649878412485123E-2</v>
      </c>
      <c r="T13" s="12">
        <v>1.0067692995071411</v>
      </c>
      <c r="U13" s="12">
        <v>2.508074976503849E-2</v>
      </c>
    </row>
  </sheetData>
  <mergeCells count="4">
    <mergeCell ref="J1:M1"/>
    <mergeCell ref="N1:Q1"/>
    <mergeCell ref="R1:U1"/>
    <mergeCell ref="B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14"/>
  <sheetViews>
    <sheetView topLeftCell="A2" workbookViewId="0">
      <selection activeCell="D19" sqref="D19"/>
    </sheetView>
  </sheetViews>
  <sheetFormatPr defaultColWidth="8.77734375" defaultRowHeight="14.4" x14ac:dyDescent="0.3"/>
  <sheetData>
    <row r="1" spans="1:47" x14ac:dyDescent="0.3">
      <c r="C1" s="21" t="s">
        <v>51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R1" s="21" t="s">
        <v>53</v>
      </c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"/>
      <c r="AG1" s="21" t="s">
        <v>54</v>
      </c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"/>
    </row>
    <row r="2" spans="1:47" x14ac:dyDescent="0.3">
      <c r="C2" t="s">
        <v>39</v>
      </c>
      <c r="E2" t="s">
        <v>40</v>
      </c>
      <c r="G2" t="s">
        <v>49</v>
      </c>
      <c r="I2" s="21" t="s">
        <v>50</v>
      </c>
      <c r="J2" s="21"/>
      <c r="K2" s="21"/>
      <c r="L2" s="21"/>
      <c r="M2" s="21" t="s">
        <v>52</v>
      </c>
      <c r="N2" s="21"/>
      <c r="O2" s="21"/>
      <c r="P2" s="21"/>
      <c r="R2" t="s">
        <v>39</v>
      </c>
      <c r="T2" t="s">
        <v>40</v>
      </c>
      <c r="V2" t="s">
        <v>49</v>
      </c>
      <c r="X2" s="21" t="s">
        <v>50</v>
      </c>
      <c r="Y2" s="21"/>
      <c r="Z2" s="21"/>
      <c r="AA2" s="21"/>
      <c r="AB2" s="21" t="s">
        <v>52</v>
      </c>
      <c r="AC2" s="21"/>
      <c r="AD2" s="21"/>
      <c r="AE2" s="21"/>
      <c r="AF2" s="2"/>
      <c r="AG2" t="s">
        <v>39</v>
      </c>
      <c r="AI2" t="s">
        <v>40</v>
      </c>
      <c r="AK2" t="s">
        <v>49</v>
      </c>
      <c r="AM2" s="21" t="s">
        <v>50</v>
      </c>
      <c r="AN2" s="21"/>
      <c r="AO2" s="21"/>
      <c r="AP2" s="21"/>
      <c r="AQ2" s="21" t="s">
        <v>52</v>
      </c>
      <c r="AR2" s="21"/>
      <c r="AS2" s="21"/>
      <c r="AT2" s="21"/>
      <c r="AU2" s="2"/>
    </row>
    <row r="3" spans="1:47" x14ac:dyDescent="0.3">
      <c r="I3" s="21" t="s">
        <v>41</v>
      </c>
      <c r="J3" s="21"/>
      <c r="K3" s="21" t="s">
        <v>42</v>
      </c>
      <c r="L3" s="21"/>
      <c r="M3" s="21" t="s">
        <v>41</v>
      </c>
      <c r="N3" s="21"/>
      <c r="O3" s="21" t="s">
        <v>42</v>
      </c>
      <c r="P3" s="21"/>
      <c r="X3" s="21" t="s">
        <v>41</v>
      </c>
      <c r="Y3" s="21"/>
      <c r="Z3" s="21" t="s">
        <v>42</v>
      </c>
      <c r="AA3" s="21"/>
      <c r="AB3" s="21" t="s">
        <v>41</v>
      </c>
      <c r="AC3" s="21"/>
      <c r="AD3" s="21" t="s">
        <v>42</v>
      </c>
      <c r="AE3" s="21"/>
      <c r="AM3" s="21" t="s">
        <v>41</v>
      </c>
      <c r="AN3" s="21"/>
      <c r="AO3" s="21" t="s">
        <v>42</v>
      </c>
      <c r="AP3" s="21"/>
      <c r="AQ3" s="21" t="s">
        <v>41</v>
      </c>
      <c r="AR3" s="21"/>
      <c r="AS3" s="21" t="s">
        <v>42</v>
      </c>
      <c r="AT3" s="21"/>
    </row>
    <row r="4" spans="1:47" x14ac:dyDescent="0.3">
      <c r="A4">
        <v>2003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7"/>
    </row>
    <row r="5" spans="1:47" x14ac:dyDescent="0.3">
      <c r="A5">
        <v>2004</v>
      </c>
      <c r="C5" s="13">
        <v>0.73747360706329346</v>
      </c>
      <c r="D5" s="13">
        <v>5.3830412216484547E-3</v>
      </c>
      <c r="E5" s="13">
        <v>0.81823784112930298</v>
      </c>
      <c r="F5" s="13">
        <v>7.8756865113973618E-3</v>
      </c>
      <c r="G5" s="13">
        <v>0.80922991037368774</v>
      </c>
      <c r="H5" s="13">
        <v>6.0091409832239151E-3</v>
      </c>
      <c r="I5" s="13">
        <v>0.98154395818710327</v>
      </c>
      <c r="J5" s="13">
        <v>6.4411904895678163E-4</v>
      </c>
      <c r="K5" s="13">
        <v>0.96833056211471558</v>
      </c>
      <c r="L5" s="13">
        <v>1.0928900446742773E-3</v>
      </c>
      <c r="M5" s="13">
        <v>0.17042198777198792</v>
      </c>
      <c r="N5" s="13">
        <v>1.0093647986650467E-2</v>
      </c>
      <c r="O5" s="13">
        <v>0.23121927678585052</v>
      </c>
      <c r="P5" s="13">
        <v>9.9561251699924469E-3</v>
      </c>
      <c r="Q5" s="14"/>
      <c r="R5" s="13">
        <v>0.41313114762306213</v>
      </c>
      <c r="S5" s="13">
        <v>7.318359799683094E-3</v>
      </c>
      <c r="T5" s="13">
        <v>0.39671400189399719</v>
      </c>
      <c r="U5" s="13">
        <v>7.2591132484376431E-3</v>
      </c>
      <c r="V5" s="13">
        <v>0.83038800954818726</v>
      </c>
      <c r="W5" s="13">
        <v>1.2117731384932995E-2</v>
      </c>
      <c r="X5" s="13">
        <v>0.92632842063903809</v>
      </c>
      <c r="Y5" s="13">
        <v>4.1130594909191132E-3</v>
      </c>
      <c r="Z5" s="13">
        <v>0.84717339277267456</v>
      </c>
      <c r="AA5" s="13">
        <v>8.1191407516598701E-3</v>
      </c>
      <c r="AB5" s="13">
        <v>-0.10661278665065765</v>
      </c>
      <c r="AC5" s="13">
        <v>1.6861980780959129E-2</v>
      </c>
      <c r="AD5" s="13">
        <v>-4.4388793408870697E-2</v>
      </c>
      <c r="AE5" s="13">
        <v>1.9329557195305824E-2</v>
      </c>
      <c r="AF5" s="14"/>
      <c r="AG5" s="13">
        <v>0.7091524600982666</v>
      </c>
      <c r="AH5" s="13">
        <v>1.3296931050717831E-2</v>
      </c>
      <c r="AI5" s="13">
        <v>0.83062011003494263</v>
      </c>
      <c r="AJ5" s="13">
        <v>1.8330058082938194E-2</v>
      </c>
      <c r="AK5" s="13">
        <v>0.85847282409667969</v>
      </c>
      <c r="AL5" s="13">
        <v>1.0556245222687721E-2</v>
      </c>
      <c r="AM5" s="13">
        <v>0.98240083456039429</v>
      </c>
      <c r="AN5" s="13">
        <v>1.5184496296569705E-3</v>
      </c>
      <c r="AO5" s="13">
        <v>0.9690820574760437</v>
      </c>
      <c r="AP5" s="13">
        <v>1.8480905564501882E-3</v>
      </c>
      <c r="AQ5" s="13">
        <v>0.2129582017660141</v>
      </c>
      <c r="AR5" s="13">
        <v>2.3771857842803001E-2</v>
      </c>
      <c r="AS5" s="13">
        <v>0.30080094933509827</v>
      </c>
      <c r="AT5" s="13">
        <v>2.4479946121573448E-2</v>
      </c>
      <c r="AU5" s="8"/>
    </row>
    <row r="6" spans="1:47" x14ac:dyDescent="0.3">
      <c r="A6">
        <v>2005</v>
      </c>
      <c r="C6" s="10">
        <v>0.72474449872970581</v>
      </c>
      <c r="D6" s="10">
        <v>6.1238897033035755E-3</v>
      </c>
      <c r="E6" s="10">
        <v>0.79799872636795044</v>
      </c>
      <c r="F6" s="10">
        <v>6.5041268244385719E-3</v>
      </c>
      <c r="G6" s="10">
        <v>0.81825697422027588</v>
      </c>
      <c r="H6" s="10">
        <v>5.2869091741740704E-3</v>
      </c>
      <c r="I6" s="10">
        <v>0.98028230667114258</v>
      </c>
      <c r="J6" s="10">
        <v>5.6808436056599021E-4</v>
      </c>
      <c r="K6" s="10">
        <v>0.96583759784698486</v>
      </c>
      <c r="L6" s="10">
        <v>1.055272645317018E-3</v>
      </c>
      <c r="M6" s="10">
        <v>0.21045903861522675</v>
      </c>
      <c r="N6" s="10">
        <v>1.0510745458304882E-2</v>
      </c>
      <c r="O6" s="10">
        <v>0.26115185022354126</v>
      </c>
      <c r="P6" s="10">
        <v>9.4678392633795738E-3</v>
      </c>
      <c r="Q6" s="11"/>
      <c r="R6" s="10">
        <v>0.39331457018852234</v>
      </c>
      <c r="S6" s="10">
        <v>6.7161810584366322E-3</v>
      </c>
      <c r="T6" s="10">
        <v>0.38385972380638123</v>
      </c>
      <c r="U6" s="10">
        <v>6.0907891020178795E-3</v>
      </c>
      <c r="V6" s="10">
        <v>0.82918846607208252</v>
      </c>
      <c r="W6" s="10">
        <v>1.3053202070295811E-2</v>
      </c>
      <c r="X6" s="10">
        <v>0.90708023309707642</v>
      </c>
      <c r="Y6" s="10">
        <v>4.616923164576292E-3</v>
      </c>
      <c r="Z6" s="10">
        <v>0.85111832618713379</v>
      </c>
      <c r="AA6" s="10">
        <v>8.3945514634251595E-3</v>
      </c>
      <c r="AB6" s="10">
        <v>1.9803492352366447E-2</v>
      </c>
      <c r="AC6" s="10">
        <v>1.9803760573267937E-2</v>
      </c>
      <c r="AD6" s="10">
        <v>8.5502095520496368E-2</v>
      </c>
      <c r="AE6" s="10">
        <v>1.9999245181679726E-2</v>
      </c>
      <c r="AF6" s="11"/>
      <c r="AG6" s="10">
        <v>0.73002916574478149</v>
      </c>
      <c r="AH6" s="10">
        <v>1.231860090047121E-2</v>
      </c>
      <c r="AI6" s="10">
        <v>0.81181555986404419</v>
      </c>
      <c r="AJ6" s="10">
        <v>1.6082106158137321E-2</v>
      </c>
      <c r="AK6" s="10">
        <v>0.85340040922164917</v>
      </c>
      <c r="AL6" s="10">
        <v>1.2189285829663277E-2</v>
      </c>
      <c r="AM6" s="10">
        <v>0.98032790422439575</v>
      </c>
      <c r="AN6" s="10">
        <v>1.2057947460561991E-3</v>
      </c>
      <c r="AO6" s="10">
        <v>0.97121554613113403</v>
      </c>
      <c r="AP6" s="10">
        <v>1.8598507158458233E-3</v>
      </c>
      <c r="AQ6" s="10">
        <v>0.28712329268455505</v>
      </c>
      <c r="AR6" s="10">
        <v>1.9786989316344261E-2</v>
      </c>
      <c r="AS6" s="10">
        <v>0.32781234383583069</v>
      </c>
      <c r="AT6" s="10">
        <v>2.0171048119664192E-2</v>
      </c>
      <c r="AU6" s="7"/>
    </row>
    <row r="7" spans="1:47" x14ac:dyDescent="0.3">
      <c r="A7">
        <v>2006</v>
      </c>
      <c r="C7" s="10">
        <v>0.76166874170303345</v>
      </c>
      <c r="D7" s="10">
        <v>6.5405680797994137E-3</v>
      </c>
      <c r="E7" s="10">
        <v>0.86053198575973511</v>
      </c>
      <c r="F7" s="10">
        <v>7.3165614157915115E-3</v>
      </c>
      <c r="G7" s="10">
        <v>0.81986778974533081</v>
      </c>
      <c r="H7" s="10">
        <v>6.7133093252778053E-3</v>
      </c>
      <c r="I7" s="10">
        <v>0.98070335388183594</v>
      </c>
      <c r="J7" s="10">
        <v>6.6406349651515484E-4</v>
      </c>
      <c r="K7" s="10">
        <v>0.96917951107025146</v>
      </c>
      <c r="L7" s="10">
        <v>9.5582997892051935E-4</v>
      </c>
      <c r="M7" s="10">
        <v>0.20505847036838531</v>
      </c>
      <c r="N7" s="10">
        <v>1.1197763495147228E-2</v>
      </c>
      <c r="O7" s="10">
        <v>0.26331025362014771</v>
      </c>
      <c r="P7" s="10">
        <v>9.471607394516468E-3</v>
      </c>
      <c r="Q7" s="11"/>
      <c r="R7" s="10">
        <v>0.42028173804283142</v>
      </c>
      <c r="S7" s="10">
        <v>8.2890894263982773E-3</v>
      </c>
      <c r="T7" s="10">
        <v>0.40629565715789795</v>
      </c>
      <c r="U7" s="10">
        <v>5.9696957468986511E-3</v>
      </c>
      <c r="V7" s="10">
        <v>0.83235687017440796</v>
      </c>
      <c r="W7" s="10">
        <v>1.059488020837307E-2</v>
      </c>
      <c r="X7" s="10">
        <v>0.9156031608581543</v>
      </c>
      <c r="Y7" s="10">
        <v>4.7649270854890347E-3</v>
      </c>
      <c r="Z7" s="10">
        <v>0.85618734359741211</v>
      </c>
      <c r="AA7" s="10">
        <v>8.1434231251478195E-3</v>
      </c>
      <c r="AB7" s="10">
        <v>-4.0628738701343536E-2</v>
      </c>
      <c r="AC7" s="10">
        <v>1.9625382497906685E-2</v>
      </c>
      <c r="AD7" s="10">
        <v>1.110735721886158E-2</v>
      </c>
      <c r="AE7" s="10">
        <v>2.2598359733819962E-2</v>
      </c>
      <c r="AF7" s="11"/>
      <c r="AG7" s="10">
        <v>0.72199904918670654</v>
      </c>
      <c r="AH7" s="10">
        <v>1.3112481683492661E-2</v>
      </c>
      <c r="AI7" s="10">
        <v>0.83945256471633911</v>
      </c>
      <c r="AJ7" s="10">
        <v>1.7081988975405693E-2</v>
      </c>
      <c r="AK7" s="10">
        <v>0.85405951738357544</v>
      </c>
      <c r="AL7" s="10">
        <v>1.0796875692903996E-2</v>
      </c>
      <c r="AM7" s="10">
        <v>0.98151171207427979</v>
      </c>
      <c r="AN7" s="10">
        <v>1.2549838284030557E-3</v>
      </c>
      <c r="AO7" s="10">
        <v>0.97087693214416504</v>
      </c>
      <c r="AP7" s="10">
        <v>2.0040159579366446E-3</v>
      </c>
      <c r="AQ7" s="10">
        <v>0.22715944051742554</v>
      </c>
      <c r="AR7" s="10">
        <v>2.5391364470124245E-2</v>
      </c>
      <c r="AS7" s="10">
        <v>0.29059010744094849</v>
      </c>
      <c r="AT7" s="10">
        <v>2.4757776409387589E-2</v>
      </c>
      <c r="AU7" s="7"/>
    </row>
    <row r="8" spans="1:47" x14ac:dyDescent="0.3">
      <c r="A8">
        <v>2007</v>
      </c>
      <c r="C8" s="10">
        <v>0.78004014492034912</v>
      </c>
      <c r="D8" s="10">
        <v>8.1904120743274689E-3</v>
      </c>
      <c r="E8" s="10">
        <v>0.86804074048995972</v>
      </c>
      <c r="F8" s="10">
        <v>8.5720401257276535E-3</v>
      </c>
      <c r="G8" s="10">
        <v>0.89086687564849854</v>
      </c>
      <c r="H8" s="10">
        <v>7.2463252581655979E-3</v>
      </c>
      <c r="I8" s="10">
        <v>0.98035281896591187</v>
      </c>
      <c r="J8" s="10">
        <v>7.9180789180099964E-4</v>
      </c>
      <c r="K8" s="10">
        <v>0.9708142876625061</v>
      </c>
      <c r="L8" s="10">
        <v>9.789725299924612E-4</v>
      </c>
      <c r="M8" s="10">
        <v>0.11767177283763885</v>
      </c>
      <c r="N8" s="10">
        <v>1.5109612606465816E-2</v>
      </c>
      <c r="O8" s="10">
        <v>0.19659595191478729</v>
      </c>
      <c r="P8" s="10">
        <v>1.0924424976110458E-2</v>
      </c>
      <c r="Q8" s="11"/>
      <c r="R8" s="10">
        <v>0.43333113193511963</v>
      </c>
      <c r="S8" s="10">
        <v>8.1327678635716438E-3</v>
      </c>
      <c r="T8" s="10">
        <v>0.40514591336250305</v>
      </c>
      <c r="U8" s="10">
        <v>6.0422136448323727E-3</v>
      </c>
      <c r="V8" s="10">
        <v>0.91319340467453003</v>
      </c>
      <c r="W8" s="10">
        <v>1.7372999340295792E-2</v>
      </c>
      <c r="X8" s="10">
        <v>0.90687894821166992</v>
      </c>
      <c r="Y8" s="10">
        <v>6.0091218911111355E-3</v>
      </c>
      <c r="Z8" s="10">
        <v>0.86559492349624634</v>
      </c>
      <c r="AA8" s="10">
        <v>8.2792323082685471E-3</v>
      </c>
      <c r="AB8" s="10">
        <v>-0.1143469363451004</v>
      </c>
      <c r="AC8" s="10">
        <v>2.2081382572650909E-2</v>
      </c>
      <c r="AD8" s="10">
        <v>-8.2663647830486298E-2</v>
      </c>
      <c r="AE8" s="10">
        <v>2.5975210592150688E-2</v>
      </c>
      <c r="AF8" s="11"/>
      <c r="AG8" s="10">
        <v>0.77617335319519043</v>
      </c>
      <c r="AH8" s="10">
        <v>1.8656665459275246E-2</v>
      </c>
      <c r="AI8" s="10">
        <v>0.89448916912078857</v>
      </c>
      <c r="AJ8" s="10">
        <v>1.9716057926416397E-2</v>
      </c>
      <c r="AK8" s="10">
        <v>0.92291885614395142</v>
      </c>
      <c r="AL8" s="10">
        <v>1.3074907474219799E-2</v>
      </c>
      <c r="AM8" s="10">
        <v>0.98103845119476318</v>
      </c>
      <c r="AN8" s="10">
        <v>1.2338324449956417E-3</v>
      </c>
      <c r="AO8" s="10">
        <v>0.97398585081100464</v>
      </c>
      <c r="AP8" s="10">
        <v>2.0631838124245405E-3</v>
      </c>
      <c r="AQ8" s="10">
        <v>0.14073066413402557</v>
      </c>
      <c r="AR8" s="10">
        <v>2.5016110390424728E-2</v>
      </c>
      <c r="AS8" s="10">
        <v>0.20302869379520416</v>
      </c>
      <c r="AT8" s="10">
        <v>2.6253322139382362E-2</v>
      </c>
      <c r="AU8" s="7"/>
    </row>
    <row r="9" spans="1:47" x14ac:dyDescent="0.3">
      <c r="A9">
        <v>2008</v>
      </c>
      <c r="C9" s="10">
        <v>0.76032114028930664</v>
      </c>
      <c r="D9" s="10">
        <v>7.5818914920091629E-3</v>
      </c>
      <c r="E9" s="10">
        <v>0.84861916303634644</v>
      </c>
      <c r="F9" s="10">
        <v>8.4657631814479828E-3</v>
      </c>
      <c r="G9" s="10">
        <v>0.87048667669296265</v>
      </c>
      <c r="H9" s="10">
        <v>5.62283955514431E-3</v>
      </c>
      <c r="I9" s="10">
        <v>0.97823637723922729</v>
      </c>
      <c r="J9" s="10">
        <v>7.9100101720541716E-4</v>
      </c>
      <c r="K9" s="10">
        <v>0.96919155120849609</v>
      </c>
      <c r="L9" s="10">
        <v>9.7533839289098978E-4</v>
      </c>
      <c r="M9" s="10">
        <v>0.22979548573493958</v>
      </c>
      <c r="N9" s="10">
        <v>1.0955079458653927E-2</v>
      </c>
      <c r="O9" s="10">
        <v>0.27166318893432617</v>
      </c>
      <c r="P9" s="10">
        <v>1.1750685051083565E-2</v>
      </c>
      <c r="Q9" s="11"/>
      <c r="R9" s="10">
        <v>0.40633094310760498</v>
      </c>
      <c r="S9" s="10">
        <v>6.4916536211967468E-3</v>
      </c>
      <c r="T9" s="10">
        <v>0.38675650954246521</v>
      </c>
      <c r="U9" s="10">
        <v>5.3785992786288261E-3</v>
      </c>
      <c r="V9" s="10">
        <v>0.90828418731689453</v>
      </c>
      <c r="W9" s="10">
        <v>1.430333498865366E-2</v>
      </c>
      <c r="X9" s="10">
        <v>0.89447230100631714</v>
      </c>
      <c r="Y9" s="10">
        <v>5.6583466939628124E-3</v>
      </c>
      <c r="Z9" s="10">
        <v>0.86428403854370117</v>
      </c>
      <c r="AA9" s="10">
        <v>7.5414413586258888E-3</v>
      </c>
      <c r="AB9" s="10">
        <v>-4.3677985668182373E-2</v>
      </c>
      <c r="AC9" s="10">
        <v>2.2311687469482422E-2</v>
      </c>
      <c r="AD9" s="10">
        <v>-1.6412397846579552E-2</v>
      </c>
      <c r="AE9" s="10">
        <v>2.1943695843219757E-2</v>
      </c>
      <c r="AF9" s="11"/>
      <c r="AG9" s="10">
        <v>0.72602415084838867</v>
      </c>
      <c r="AH9" s="10">
        <v>1.5554889105260372E-2</v>
      </c>
      <c r="AI9" s="10">
        <v>0.81730598211288452</v>
      </c>
      <c r="AJ9" s="10">
        <v>1.7028180882334709E-2</v>
      </c>
      <c r="AK9" s="10">
        <v>0.88159918785095215</v>
      </c>
      <c r="AL9" s="10">
        <v>1.2866546399891376E-2</v>
      </c>
      <c r="AM9" s="10">
        <v>0.97902274131774902</v>
      </c>
      <c r="AN9" s="10">
        <v>1.4246013015508652E-3</v>
      </c>
      <c r="AO9" s="10">
        <v>0.97435986995697021</v>
      </c>
      <c r="AP9" s="10">
        <v>1.7877030186355114E-3</v>
      </c>
      <c r="AQ9" s="10">
        <v>0.30376434326171875</v>
      </c>
      <c r="AR9" s="10">
        <v>2.5811702013015747E-2</v>
      </c>
      <c r="AS9" s="10">
        <v>0.34826973080635071</v>
      </c>
      <c r="AT9" s="10">
        <v>2.2322723641991615E-2</v>
      </c>
      <c r="AU9" s="7"/>
    </row>
    <row r="10" spans="1:47" x14ac:dyDescent="0.3">
      <c r="A10">
        <v>2009</v>
      </c>
      <c r="C10" s="10">
        <v>0.81957781314849854</v>
      </c>
      <c r="D10" s="10">
        <v>8.4515847265720367E-3</v>
      </c>
      <c r="E10" s="10">
        <v>0.90960091352462769</v>
      </c>
      <c r="F10" s="10">
        <v>9.7305597737431526E-3</v>
      </c>
      <c r="G10" s="10">
        <v>0.89103025197982788</v>
      </c>
      <c r="H10" s="10">
        <v>7.0876218378543854E-3</v>
      </c>
      <c r="I10" s="10">
        <v>0.98079723119735718</v>
      </c>
      <c r="J10" s="10">
        <v>7.4804911855608225E-4</v>
      </c>
      <c r="K10" s="10">
        <v>0.97147268056869507</v>
      </c>
      <c r="L10" s="10">
        <v>1.0027262615039945E-3</v>
      </c>
      <c r="M10" s="10">
        <v>0.16531553864479065</v>
      </c>
      <c r="N10" s="10">
        <v>1.1972842738032341E-2</v>
      </c>
      <c r="O10" s="10">
        <v>0.22216236591339111</v>
      </c>
      <c r="P10" s="10">
        <v>1.1366173624992371E-2</v>
      </c>
      <c r="Q10" s="11"/>
      <c r="R10" s="10">
        <v>0.38977879285812378</v>
      </c>
      <c r="S10" s="10">
        <v>6.3159847632050514E-3</v>
      </c>
      <c r="T10" s="10">
        <v>0.37658309936523438</v>
      </c>
      <c r="U10" s="10">
        <v>6.8142013624310493E-3</v>
      </c>
      <c r="V10" s="10">
        <v>0.89711248874664307</v>
      </c>
      <c r="W10" s="10">
        <v>1.3952684588730335E-2</v>
      </c>
      <c r="X10" s="10">
        <v>0.89356619119644165</v>
      </c>
      <c r="Y10" s="10">
        <v>5.8306315913796425E-3</v>
      </c>
      <c r="Z10" s="10">
        <v>0.85654574632644653</v>
      </c>
      <c r="AA10" s="10">
        <v>9.1127073392271996E-3</v>
      </c>
      <c r="AB10" s="10">
        <v>1.7309524118900299E-2</v>
      </c>
      <c r="AC10" s="10">
        <v>2.3938721045851707E-2</v>
      </c>
      <c r="AD10" s="10">
        <v>5.0082087516784668E-2</v>
      </c>
      <c r="AE10" s="10">
        <v>2.4737726897001266E-2</v>
      </c>
      <c r="AF10" s="11"/>
      <c r="AG10" s="10">
        <v>0.84104961156845093</v>
      </c>
      <c r="AH10" s="10">
        <v>1.8296932801604271E-2</v>
      </c>
      <c r="AI10" s="10">
        <v>0.92203181982040405</v>
      </c>
      <c r="AJ10" s="10">
        <v>1.9376516342163086E-2</v>
      </c>
      <c r="AK10" s="10">
        <v>0.89759683609008789</v>
      </c>
      <c r="AL10" s="10">
        <v>1.4593135565519333E-2</v>
      </c>
      <c r="AM10" s="10">
        <v>0.98366016149520874</v>
      </c>
      <c r="AN10" s="10">
        <v>1.3237659586593509E-3</v>
      </c>
      <c r="AO10" s="10">
        <v>0.97752010822296143</v>
      </c>
      <c r="AP10" s="10">
        <v>1.9157584756612778E-3</v>
      </c>
      <c r="AQ10" s="10">
        <v>0.21480858325958252</v>
      </c>
      <c r="AR10" s="10">
        <v>2.5807896628975868E-2</v>
      </c>
      <c r="AS10" s="10">
        <v>0.30431243777275085</v>
      </c>
      <c r="AT10" s="10">
        <v>2.5414697825908661E-2</v>
      </c>
      <c r="AU10" s="7"/>
    </row>
    <row r="11" spans="1:47" x14ac:dyDescent="0.3">
      <c r="A11">
        <v>2010</v>
      </c>
      <c r="C11" s="10">
        <v>0.81090462207794189</v>
      </c>
      <c r="D11" s="10">
        <v>8.6435815319418907E-3</v>
      </c>
      <c r="E11" s="10">
        <v>0.90298169851303101</v>
      </c>
      <c r="F11" s="10">
        <v>9.2131253331899643E-3</v>
      </c>
      <c r="G11" s="10">
        <v>0.8780713677406311</v>
      </c>
      <c r="H11" s="10">
        <v>7.6839784160256386E-3</v>
      </c>
      <c r="I11" s="10">
        <v>0.98060685396194458</v>
      </c>
      <c r="J11" s="10">
        <v>7.0933840470388532E-4</v>
      </c>
      <c r="K11" s="10">
        <v>0.97221678495407104</v>
      </c>
      <c r="L11" s="10">
        <v>8.5026939632371068E-4</v>
      </c>
      <c r="M11" s="10">
        <v>0.22778262197971344</v>
      </c>
      <c r="N11" s="10">
        <v>1.2486140243709087E-2</v>
      </c>
      <c r="O11" s="10">
        <v>0.25832882523536682</v>
      </c>
      <c r="P11" s="10">
        <v>1.1581136845052242E-2</v>
      </c>
      <c r="Q11" s="11"/>
      <c r="R11" s="10">
        <v>0.40414696931838989</v>
      </c>
      <c r="S11" s="10">
        <v>6.8727326579391956E-3</v>
      </c>
      <c r="T11" s="10">
        <v>0.40498486161231995</v>
      </c>
      <c r="U11" s="10">
        <v>6.5220813266932964E-3</v>
      </c>
      <c r="V11" s="10">
        <v>0.88770020008087158</v>
      </c>
      <c r="W11" s="10">
        <v>1.603253185749054E-2</v>
      </c>
      <c r="X11" s="10">
        <v>0.90249139070510864</v>
      </c>
      <c r="Y11" s="10">
        <v>5.6212339550256729E-3</v>
      </c>
      <c r="Z11" s="10">
        <v>0.86639654636383057</v>
      </c>
      <c r="AA11" s="10">
        <v>7.8811487182974815E-3</v>
      </c>
      <c r="AB11" s="10">
        <v>-3.8482242962345481E-4</v>
      </c>
      <c r="AC11" s="10">
        <v>2.4888515472412109E-2</v>
      </c>
      <c r="AD11" s="10">
        <v>3.0184466391801834E-2</v>
      </c>
      <c r="AE11" s="10">
        <v>2.0764941349625587E-2</v>
      </c>
      <c r="AF11" s="11"/>
      <c r="AG11" s="10">
        <v>0.76621276140213013</v>
      </c>
      <c r="AH11" s="10">
        <v>1.4448567293584347E-2</v>
      </c>
      <c r="AI11" s="10">
        <v>0.86136311292648315</v>
      </c>
      <c r="AJ11" s="10">
        <v>1.8469240516424179E-2</v>
      </c>
      <c r="AK11" s="10">
        <v>0.86066585779190063</v>
      </c>
      <c r="AL11" s="10">
        <v>1.4060950838029385E-2</v>
      </c>
      <c r="AM11" s="10">
        <v>0.98023426532745361</v>
      </c>
      <c r="AN11" s="10">
        <v>1.283154240809381E-3</v>
      </c>
      <c r="AO11" s="10">
        <v>0.97649121284484863</v>
      </c>
      <c r="AP11" s="10">
        <v>1.9712604116648436E-3</v>
      </c>
      <c r="AQ11" s="10">
        <v>0.31500580906867981</v>
      </c>
      <c r="AR11" s="10">
        <v>2.5050897151231766E-2</v>
      </c>
      <c r="AS11" s="10">
        <v>0.33381044864654541</v>
      </c>
      <c r="AT11" s="10">
        <v>2.6636505499482155E-2</v>
      </c>
      <c r="AU11" s="7"/>
    </row>
    <row r="12" spans="1:47" x14ac:dyDescent="0.3">
      <c r="A12">
        <v>2011</v>
      </c>
      <c r="C12" s="10">
        <v>0.78530997037887573</v>
      </c>
      <c r="D12" s="10">
        <v>8.723909966647625E-3</v>
      </c>
      <c r="E12" s="10">
        <v>0.89138960838317871</v>
      </c>
      <c r="F12" s="10">
        <v>8.99541936814785E-3</v>
      </c>
      <c r="G12" s="10">
        <v>0.9093937873840332</v>
      </c>
      <c r="H12" s="10">
        <v>7.3591182008385658E-3</v>
      </c>
      <c r="I12" s="10">
        <v>0.97837352752685547</v>
      </c>
      <c r="J12" s="10">
        <v>8.6881953757256269E-4</v>
      </c>
      <c r="K12" s="10">
        <v>0.96723383665084839</v>
      </c>
      <c r="L12" s="10">
        <v>1.3597417855635285E-3</v>
      </c>
      <c r="M12" s="10">
        <v>0.23236776888370514</v>
      </c>
      <c r="N12" s="10">
        <v>1.6458747908473015E-2</v>
      </c>
      <c r="O12" s="10">
        <v>0.28726556897163391</v>
      </c>
      <c r="P12" s="10">
        <v>1.1128528043627739E-2</v>
      </c>
      <c r="Q12" s="11"/>
      <c r="R12" s="10">
        <v>0.36389151215553284</v>
      </c>
      <c r="S12" s="10">
        <v>5.9338035061955452E-3</v>
      </c>
      <c r="T12" s="10">
        <v>0.35877841711044312</v>
      </c>
      <c r="U12" s="10">
        <v>5.346604622900486E-3</v>
      </c>
      <c r="V12" s="10">
        <v>0.96873658895492554</v>
      </c>
      <c r="W12" s="10">
        <v>1.6309782862663269E-2</v>
      </c>
      <c r="X12" s="10">
        <v>0.86050301790237427</v>
      </c>
      <c r="Y12" s="10">
        <v>8.1806909292936325E-3</v>
      </c>
      <c r="Z12" s="10">
        <v>0.82047182321548462</v>
      </c>
      <c r="AA12" s="10">
        <v>1.009070873260498E-2</v>
      </c>
      <c r="AB12" s="10">
        <v>0.11841719597578049</v>
      </c>
      <c r="AC12" s="10">
        <v>2.3211691528558731E-2</v>
      </c>
      <c r="AD12" s="10">
        <v>0.14060711860656738</v>
      </c>
      <c r="AE12" s="10">
        <v>2.5260297581553459E-2</v>
      </c>
      <c r="AF12" s="11"/>
      <c r="AG12" s="10">
        <v>0.76315462589263916</v>
      </c>
      <c r="AH12" s="10">
        <v>1.8738608807325363E-2</v>
      </c>
      <c r="AI12" s="10">
        <v>0.89013189077377319</v>
      </c>
      <c r="AJ12" s="10">
        <v>1.9110923632979393E-2</v>
      </c>
      <c r="AK12" s="10">
        <v>0.92681211233139038</v>
      </c>
      <c r="AL12" s="10">
        <v>1.5612167306244373E-2</v>
      </c>
      <c r="AM12" s="10">
        <v>0.98012286424636841</v>
      </c>
      <c r="AN12" s="10">
        <v>1.4433796750381589E-3</v>
      </c>
      <c r="AO12" s="10">
        <v>0.97294479608535767</v>
      </c>
      <c r="AP12" s="10">
        <v>1.7403081292286515E-3</v>
      </c>
      <c r="AQ12" s="10">
        <v>0.33524546027183533</v>
      </c>
      <c r="AR12" s="10">
        <v>2.6350628584623337E-2</v>
      </c>
      <c r="AS12" s="10">
        <v>0.37264680862426758</v>
      </c>
      <c r="AT12" s="10">
        <v>2.6110878214240074E-2</v>
      </c>
      <c r="AU12" s="7"/>
    </row>
    <row r="13" spans="1:47" x14ac:dyDescent="0.3">
      <c r="A13">
        <v>2012</v>
      </c>
      <c r="C13" s="10">
        <v>0.78569948673248291</v>
      </c>
      <c r="D13" s="10">
        <v>8.6301453411579132E-3</v>
      </c>
      <c r="E13" s="10">
        <v>0.89802682399749756</v>
      </c>
      <c r="F13" s="10">
        <v>8.718523196876049E-3</v>
      </c>
      <c r="G13" s="10">
        <v>0.95412099361419678</v>
      </c>
      <c r="H13" s="10">
        <v>8.3157774060964584E-3</v>
      </c>
      <c r="I13" s="10">
        <v>0.97759974002838135</v>
      </c>
      <c r="J13" s="10">
        <v>9.8547386005520821E-4</v>
      </c>
      <c r="K13" s="10">
        <v>0.9687160849571228</v>
      </c>
      <c r="L13" s="10">
        <v>1.1919217649847269E-3</v>
      </c>
      <c r="M13" s="10">
        <v>0.269094318151474</v>
      </c>
      <c r="N13" s="10">
        <v>1.441410556435585E-2</v>
      </c>
      <c r="O13" s="10">
        <v>0.31045758724212646</v>
      </c>
      <c r="P13" s="10">
        <v>1.2399613857269287E-2</v>
      </c>
      <c r="Q13" s="11"/>
      <c r="R13" s="10">
        <v>0.35774239897727966</v>
      </c>
      <c r="S13" s="10">
        <v>7.2412150911986828E-3</v>
      </c>
      <c r="T13" s="10">
        <v>0.35237383842468262</v>
      </c>
      <c r="U13" s="10">
        <v>5.9522045776247978E-3</v>
      </c>
      <c r="V13" s="10">
        <v>1.0221953392028809</v>
      </c>
      <c r="W13" s="10">
        <v>1.5547048300504684E-2</v>
      </c>
      <c r="X13" s="10">
        <v>0.85869723558425903</v>
      </c>
      <c r="Y13" s="10">
        <v>8.4280269220471382E-3</v>
      </c>
      <c r="Z13" s="10">
        <v>0.82101750373840332</v>
      </c>
      <c r="AA13" s="10">
        <v>9.6647115424275398E-3</v>
      </c>
      <c r="AB13" s="10">
        <v>0.15146525204181671</v>
      </c>
      <c r="AC13" s="10">
        <v>2.7883686125278473E-2</v>
      </c>
      <c r="AD13" s="10">
        <v>0.14752151072025299</v>
      </c>
      <c r="AE13" s="10">
        <v>2.8543446213006973E-2</v>
      </c>
      <c r="AF13" s="11"/>
      <c r="AG13" s="10">
        <v>0.79546135663986206</v>
      </c>
      <c r="AH13" s="10">
        <v>1.9273189827799797E-2</v>
      </c>
      <c r="AI13" s="10">
        <v>0.89344042539596558</v>
      </c>
      <c r="AJ13" s="10">
        <v>1.7322130501270294E-2</v>
      </c>
      <c r="AK13" s="10">
        <v>0.96905988454818726</v>
      </c>
      <c r="AL13" s="10">
        <v>1.5750620514154434E-2</v>
      </c>
      <c r="AM13" s="10">
        <v>0.98080688714981079</v>
      </c>
      <c r="AN13" s="10">
        <v>1.2868052581325173E-3</v>
      </c>
      <c r="AO13" s="10">
        <v>0.97805845737457275</v>
      </c>
      <c r="AP13" s="10">
        <v>1.5017351834103465E-3</v>
      </c>
      <c r="AQ13" s="10">
        <v>0.37550222873687744</v>
      </c>
      <c r="AR13" s="10">
        <v>3.0522441491484642E-2</v>
      </c>
      <c r="AS13" s="10">
        <v>0.43119332194328308</v>
      </c>
      <c r="AT13" s="10">
        <v>2.5048043578863144E-2</v>
      </c>
      <c r="AU13" s="7"/>
    </row>
    <row r="14" spans="1:47" x14ac:dyDescent="0.3">
      <c r="A14">
        <v>2013</v>
      </c>
      <c r="C14" s="10">
        <v>0.82842552661895752</v>
      </c>
      <c r="D14" s="10">
        <v>9.1681797057390213E-3</v>
      </c>
      <c r="E14" s="10">
        <v>0.94274622201919556</v>
      </c>
      <c r="F14" s="10">
        <v>1.1253678239881992E-2</v>
      </c>
      <c r="G14" s="10">
        <v>0.98595666885375977</v>
      </c>
      <c r="H14" s="10">
        <v>8.6247585713863373E-3</v>
      </c>
      <c r="I14" s="10">
        <v>0.97971075773239136</v>
      </c>
      <c r="J14" s="10">
        <v>9.6671655774116516E-4</v>
      </c>
      <c r="K14" s="10">
        <v>0.9700702428817749</v>
      </c>
      <c r="L14" s="10">
        <v>1.1249500093981624E-3</v>
      </c>
      <c r="M14" s="10">
        <v>0.29014754295349121</v>
      </c>
      <c r="N14" s="10">
        <v>1.3871258124709129E-2</v>
      </c>
      <c r="O14" s="10">
        <v>0.34264394640922546</v>
      </c>
      <c r="P14" s="10">
        <v>1.2049662880599499E-2</v>
      </c>
      <c r="Q14" s="11"/>
      <c r="R14" s="10">
        <v>0.35734894871711731</v>
      </c>
      <c r="S14" s="10">
        <v>6.4292731694877148E-3</v>
      </c>
      <c r="T14" s="10">
        <v>0.3338790237903595</v>
      </c>
      <c r="U14" s="10">
        <v>6.0001416131854057E-3</v>
      </c>
      <c r="V14" s="10">
        <v>1.0357658863067627</v>
      </c>
      <c r="W14" s="10">
        <v>1.9987724721431732E-2</v>
      </c>
      <c r="X14" s="10">
        <v>0.84880208969116211</v>
      </c>
      <c r="Y14" s="10">
        <v>9.003019891679287E-3</v>
      </c>
      <c r="Z14" s="10">
        <v>0.80711382627487183</v>
      </c>
      <c r="AA14" s="10">
        <v>1.1968341656029224E-2</v>
      </c>
      <c r="AB14" s="10">
        <v>9.6676655113697052E-2</v>
      </c>
      <c r="AC14" s="10">
        <v>3.0432069674134254E-2</v>
      </c>
      <c r="AD14" s="10">
        <v>0.10669131577014923</v>
      </c>
      <c r="AE14" s="10">
        <v>2.6777870953083038E-2</v>
      </c>
      <c r="AF14" s="11"/>
      <c r="AG14" s="10">
        <v>0.80921822786331177</v>
      </c>
      <c r="AH14" s="10">
        <v>2.2382946684956551E-2</v>
      </c>
      <c r="AI14" s="10">
        <v>0.92106139659881592</v>
      </c>
      <c r="AJ14" s="10">
        <v>2.5455648079514503E-2</v>
      </c>
      <c r="AK14" s="10">
        <v>0.99850022792816162</v>
      </c>
      <c r="AL14" s="10">
        <v>1.2968502938747406E-2</v>
      </c>
      <c r="AM14" s="10">
        <v>0.97930032014846802</v>
      </c>
      <c r="AN14" s="10">
        <v>1.6069571720436215E-3</v>
      </c>
      <c r="AO14" s="10">
        <v>0.97195988893508911</v>
      </c>
      <c r="AP14" s="10">
        <v>2.5118484627455473E-3</v>
      </c>
      <c r="AQ14" s="10">
        <v>0.35775035619735718</v>
      </c>
      <c r="AR14" s="10">
        <v>2.9922593384981155E-2</v>
      </c>
      <c r="AS14" s="10">
        <v>0.41632017493247986</v>
      </c>
      <c r="AT14" s="10">
        <v>2.6847140863537788E-2</v>
      </c>
      <c r="AU14" s="7"/>
    </row>
  </sheetData>
  <mergeCells count="21">
    <mergeCell ref="AM3:AN3"/>
    <mergeCell ref="AO3:AP3"/>
    <mergeCell ref="AQ3:AR3"/>
    <mergeCell ref="AS3:AT3"/>
    <mergeCell ref="M2:P2"/>
    <mergeCell ref="M3:N3"/>
    <mergeCell ref="O3:P3"/>
    <mergeCell ref="X2:AA2"/>
    <mergeCell ref="X3:Y3"/>
    <mergeCell ref="Z3:AA3"/>
    <mergeCell ref="C1:P1"/>
    <mergeCell ref="R1:AE1"/>
    <mergeCell ref="AG1:AT1"/>
    <mergeCell ref="AM2:AP2"/>
    <mergeCell ref="AQ2:AT2"/>
    <mergeCell ref="I3:J3"/>
    <mergeCell ref="K3:L3"/>
    <mergeCell ref="I2:L2"/>
    <mergeCell ref="AB2:AE2"/>
    <mergeCell ref="AB3:AC3"/>
    <mergeCell ref="AD3:AE3"/>
  </mergeCell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0A50-733F-4162-8F71-32ADE05D24D3}">
  <dimension ref="A1:AU14"/>
  <sheetViews>
    <sheetView workbookViewId="0">
      <selection activeCell="J31" sqref="J31"/>
    </sheetView>
  </sheetViews>
  <sheetFormatPr defaultColWidth="8.77734375" defaultRowHeight="14.4" x14ac:dyDescent="0.3"/>
  <sheetData>
    <row r="1" spans="1:47" x14ac:dyDescent="0.3">
      <c r="C1" s="21" t="s">
        <v>51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R1" s="21" t="s">
        <v>53</v>
      </c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"/>
      <c r="AG1" s="21" t="s">
        <v>54</v>
      </c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"/>
    </row>
    <row r="2" spans="1:47" x14ac:dyDescent="0.3">
      <c r="C2" t="s">
        <v>39</v>
      </c>
      <c r="E2" t="s">
        <v>40</v>
      </c>
      <c r="G2" t="s">
        <v>49</v>
      </c>
      <c r="I2" s="21" t="s">
        <v>50</v>
      </c>
      <c r="J2" s="21"/>
      <c r="K2" s="21"/>
      <c r="L2" s="21"/>
      <c r="M2" s="21" t="s">
        <v>52</v>
      </c>
      <c r="N2" s="21"/>
      <c r="O2" s="21"/>
      <c r="P2" s="21"/>
      <c r="R2" t="s">
        <v>39</v>
      </c>
      <c r="T2" t="s">
        <v>40</v>
      </c>
      <c r="V2" t="s">
        <v>49</v>
      </c>
      <c r="X2" s="21" t="s">
        <v>50</v>
      </c>
      <c r="Y2" s="21"/>
      <c r="Z2" s="21"/>
      <c r="AA2" s="21"/>
      <c r="AB2" s="21" t="s">
        <v>52</v>
      </c>
      <c r="AC2" s="21"/>
      <c r="AD2" s="21"/>
      <c r="AE2" s="21"/>
      <c r="AF2" s="2"/>
      <c r="AG2" t="s">
        <v>39</v>
      </c>
      <c r="AI2" t="s">
        <v>40</v>
      </c>
      <c r="AK2" t="s">
        <v>49</v>
      </c>
      <c r="AM2" s="21" t="s">
        <v>50</v>
      </c>
      <c r="AN2" s="21"/>
      <c r="AO2" s="21"/>
      <c r="AP2" s="21"/>
      <c r="AQ2" s="21" t="s">
        <v>52</v>
      </c>
      <c r="AR2" s="21"/>
      <c r="AS2" s="21"/>
      <c r="AT2" s="21"/>
      <c r="AU2" s="2"/>
    </row>
    <row r="3" spans="1:47" x14ac:dyDescent="0.3">
      <c r="I3" s="21" t="s">
        <v>41</v>
      </c>
      <c r="J3" s="21"/>
      <c r="K3" s="21" t="s">
        <v>42</v>
      </c>
      <c r="L3" s="21"/>
      <c r="M3" s="21" t="s">
        <v>41</v>
      </c>
      <c r="N3" s="21"/>
      <c r="O3" s="21" t="s">
        <v>42</v>
      </c>
      <c r="P3" s="21"/>
      <c r="X3" s="21" t="s">
        <v>41</v>
      </c>
      <c r="Y3" s="21"/>
      <c r="Z3" s="21" t="s">
        <v>42</v>
      </c>
      <c r="AA3" s="21"/>
      <c r="AB3" s="21" t="s">
        <v>41</v>
      </c>
      <c r="AC3" s="21"/>
      <c r="AD3" s="21" t="s">
        <v>42</v>
      </c>
      <c r="AE3" s="21"/>
      <c r="AM3" s="21" t="s">
        <v>41</v>
      </c>
      <c r="AN3" s="21"/>
      <c r="AO3" s="21" t="s">
        <v>42</v>
      </c>
      <c r="AP3" s="21"/>
      <c r="AQ3" s="21" t="s">
        <v>41</v>
      </c>
      <c r="AR3" s="21"/>
      <c r="AS3" s="21" t="s">
        <v>42</v>
      </c>
      <c r="AT3" s="21"/>
    </row>
    <row r="4" spans="1:47" x14ac:dyDescent="0.3">
      <c r="A4">
        <v>2003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7"/>
    </row>
    <row r="5" spans="1:47" x14ac:dyDescent="0.3">
      <c r="A5">
        <v>2004</v>
      </c>
      <c r="C5" s="13">
        <v>0.63791573047637939</v>
      </c>
      <c r="D5" s="13">
        <v>4.7611827030777931E-3</v>
      </c>
      <c r="E5" s="13">
        <v>0.66115540266036987</v>
      </c>
      <c r="F5" s="13">
        <v>5.1667336374521255E-3</v>
      </c>
      <c r="G5" s="13">
        <v>0.80922991037368774</v>
      </c>
      <c r="H5" s="13">
        <v>6.0353954322636127E-3</v>
      </c>
      <c r="I5" s="13">
        <v>0.97243934869766235</v>
      </c>
      <c r="J5" s="13">
        <v>5.76066377107054E-4</v>
      </c>
      <c r="K5" s="13">
        <v>0.96386444568634033</v>
      </c>
      <c r="L5" s="13">
        <v>1.0132298339158297E-3</v>
      </c>
      <c r="M5" s="13">
        <v>0.26337260007858276</v>
      </c>
      <c r="N5" s="13">
        <v>1.0532720945775509E-2</v>
      </c>
      <c r="O5" s="13">
        <v>0.29186102747917175</v>
      </c>
      <c r="P5" s="13">
        <v>1.0110360570251942E-2</v>
      </c>
      <c r="Q5" s="14"/>
      <c r="R5" s="13">
        <v>0.31976085901260376</v>
      </c>
      <c r="S5" s="13">
        <v>4.3530180118978024E-3</v>
      </c>
      <c r="T5" s="13">
        <v>0.31166836619377136</v>
      </c>
      <c r="U5" s="13">
        <v>4.6364734880626202E-3</v>
      </c>
      <c r="V5" s="13">
        <v>0.82596498727798462</v>
      </c>
      <c r="W5" s="13">
        <v>1.022933516651392E-2</v>
      </c>
      <c r="X5" s="13">
        <v>0.87212973833084106</v>
      </c>
      <c r="Y5" s="13">
        <v>6.0357875190675259E-3</v>
      </c>
      <c r="Z5" s="13">
        <v>0.821616530418396</v>
      </c>
      <c r="AA5" s="13">
        <v>8.0981794744729996E-3</v>
      </c>
      <c r="AB5" s="13">
        <v>9.3259349465370178E-2</v>
      </c>
      <c r="AC5" s="13">
        <v>2.0023021847009659E-2</v>
      </c>
      <c r="AD5" s="13">
        <v>0.12785422801971436</v>
      </c>
      <c r="AE5" s="13">
        <v>1.9830547273159027E-2</v>
      </c>
      <c r="AF5" s="14"/>
      <c r="AG5" s="13">
        <v>0.65331351757049561</v>
      </c>
      <c r="AH5" s="13">
        <v>1.0846372693777084E-2</v>
      </c>
      <c r="AI5" s="13">
        <v>0.69120210409164429</v>
      </c>
      <c r="AJ5" s="13">
        <v>1.0715394280850887E-2</v>
      </c>
      <c r="AK5" s="13">
        <v>0.85847282409667969</v>
      </c>
      <c r="AL5" s="13">
        <v>1.1270040646195412E-2</v>
      </c>
      <c r="AM5" s="13">
        <v>0.97264742851257324</v>
      </c>
      <c r="AN5" s="13">
        <v>1.2564687058329582E-3</v>
      </c>
      <c r="AO5" s="13">
        <v>0.96888202428817749</v>
      </c>
      <c r="AP5" s="13">
        <v>1.5246686525642872E-3</v>
      </c>
      <c r="AQ5" s="13">
        <v>0.37467706203460693</v>
      </c>
      <c r="AR5" s="13">
        <v>2.1570073440670967E-2</v>
      </c>
      <c r="AS5" s="13">
        <v>0.38379105925559998</v>
      </c>
      <c r="AT5" s="13">
        <v>1.9336732104420662E-2</v>
      </c>
      <c r="AU5" s="8"/>
    </row>
    <row r="6" spans="1:47" x14ac:dyDescent="0.3">
      <c r="A6">
        <v>2005</v>
      </c>
      <c r="C6" s="10">
        <v>0.63978046178817749</v>
      </c>
      <c r="D6" s="10">
        <v>4.794637206941843E-3</v>
      </c>
      <c r="E6" s="10">
        <v>0.66501039266586304</v>
      </c>
      <c r="F6" s="10">
        <v>4.6143345534801483E-3</v>
      </c>
      <c r="G6" s="10">
        <v>0.81825697422027588</v>
      </c>
      <c r="H6" s="10">
        <v>5.6119766086339951E-3</v>
      </c>
      <c r="I6" s="10">
        <v>0.97165948152542114</v>
      </c>
      <c r="J6" s="10">
        <v>7.1457360172644258E-4</v>
      </c>
      <c r="K6" s="10">
        <v>0.96329808235168457</v>
      </c>
      <c r="L6" s="10">
        <v>9.2371029313653708E-4</v>
      </c>
      <c r="M6" s="10">
        <v>0.2690562903881073</v>
      </c>
      <c r="N6" s="10">
        <v>9.7344163805246353E-3</v>
      </c>
      <c r="O6" s="10">
        <v>0.29994586110115051</v>
      </c>
      <c r="P6" s="10">
        <v>9.6177700906991959E-3</v>
      </c>
      <c r="Q6" s="11"/>
      <c r="R6" s="10">
        <v>0.30766585469245911</v>
      </c>
      <c r="S6" s="10">
        <v>4.442485049366951E-3</v>
      </c>
      <c r="T6" s="10">
        <v>0.30167272686958313</v>
      </c>
      <c r="U6" s="10">
        <v>4.1784816421568394E-3</v>
      </c>
      <c r="V6" s="10">
        <v>0.81506037712097168</v>
      </c>
      <c r="W6" s="10">
        <v>1.230317447334528E-2</v>
      </c>
      <c r="X6" s="10">
        <v>0.86034369468688965</v>
      </c>
      <c r="Y6" s="10">
        <v>6.2221027910709381E-3</v>
      </c>
      <c r="Z6" s="10">
        <v>0.82173258066177368</v>
      </c>
      <c r="AA6" s="10">
        <v>7.8358538448810577E-3</v>
      </c>
      <c r="AB6" s="10">
        <v>0.10985502600669861</v>
      </c>
      <c r="AC6" s="10">
        <v>1.8611947074532509E-2</v>
      </c>
      <c r="AD6" s="10">
        <v>0.15873979032039642</v>
      </c>
      <c r="AE6" s="10">
        <v>2.0049549639225006E-2</v>
      </c>
      <c r="AF6" s="11"/>
      <c r="AG6" s="10">
        <v>0.64869767427444458</v>
      </c>
      <c r="AH6" s="10">
        <v>9.7386864945292473E-3</v>
      </c>
      <c r="AI6" s="10">
        <v>0.68634927272796631</v>
      </c>
      <c r="AJ6" s="10">
        <v>1.0100486688315868E-2</v>
      </c>
      <c r="AK6" s="10">
        <v>0.85340040922164917</v>
      </c>
      <c r="AL6" s="10">
        <v>1.0592978447675705E-2</v>
      </c>
      <c r="AM6" s="10">
        <v>0.96994990110397339</v>
      </c>
      <c r="AN6" s="10">
        <v>1.4228824293240905E-3</v>
      </c>
      <c r="AO6" s="10">
        <v>0.9682428240776062</v>
      </c>
      <c r="AP6" s="10">
        <v>2.0012569148093462E-3</v>
      </c>
      <c r="AQ6" s="10">
        <v>0.32855695486068726</v>
      </c>
      <c r="AR6" s="10">
        <v>2.0320991054177284E-2</v>
      </c>
      <c r="AS6" s="10">
        <v>0.34565642476081848</v>
      </c>
      <c r="AT6" s="10">
        <v>2.3261232301592827E-2</v>
      </c>
      <c r="AU6" s="7"/>
    </row>
    <row r="7" spans="1:47" x14ac:dyDescent="0.3">
      <c r="A7">
        <v>2006</v>
      </c>
      <c r="C7" s="10">
        <v>0.64224755764007568</v>
      </c>
      <c r="D7" s="10">
        <v>5.1102647557854652E-3</v>
      </c>
      <c r="E7" s="10">
        <v>0.66752243041992188</v>
      </c>
      <c r="F7" s="10">
        <v>4.6427249908447266E-3</v>
      </c>
      <c r="G7" s="10">
        <v>0.81986778974533081</v>
      </c>
      <c r="H7" s="10">
        <v>6.9779637269675732E-3</v>
      </c>
      <c r="I7" s="10">
        <v>0.96954971551895142</v>
      </c>
      <c r="J7" s="10">
        <v>8.2428328460082412E-4</v>
      </c>
      <c r="K7" s="10">
        <v>0.96188056468963623</v>
      </c>
      <c r="L7" s="10">
        <v>1.047726022079587E-3</v>
      </c>
      <c r="M7" s="10">
        <v>0.26135030388832092</v>
      </c>
      <c r="N7" s="10">
        <v>1.0686918161809444E-2</v>
      </c>
      <c r="O7" s="10">
        <v>0.28974872827529907</v>
      </c>
      <c r="P7" s="10">
        <v>1.0026524774730206E-2</v>
      </c>
      <c r="Q7" s="11"/>
      <c r="R7" s="10">
        <v>0.31810909509658813</v>
      </c>
      <c r="S7" s="10">
        <v>4.449247382581234E-3</v>
      </c>
      <c r="T7" s="10">
        <v>0.31434017419815063</v>
      </c>
      <c r="U7" s="10">
        <v>4.7238320112228394E-3</v>
      </c>
      <c r="V7" s="10">
        <v>0.84339934587478638</v>
      </c>
      <c r="W7" s="10">
        <v>1.245956402271986E-2</v>
      </c>
      <c r="X7" s="10">
        <v>0.85431516170501709</v>
      </c>
      <c r="Y7" s="10">
        <v>7.2798454202711582E-3</v>
      </c>
      <c r="Z7" s="10">
        <v>0.81247329711914063</v>
      </c>
      <c r="AA7" s="10">
        <v>9.616403840482235E-3</v>
      </c>
      <c r="AB7" s="10">
        <v>8.3647511899471283E-2</v>
      </c>
      <c r="AC7" s="10">
        <v>2.0696813240647316E-2</v>
      </c>
      <c r="AD7" s="10">
        <v>0.12574231624603271</v>
      </c>
      <c r="AE7" s="10">
        <v>2.050464041531086E-2</v>
      </c>
      <c r="AF7" s="11"/>
      <c r="AG7" s="10">
        <v>0.65361970663070679</v>
      </c>
      <c r="AH7" s="10">
        <v>1.0175043717026711E-2</v>
      </c>
      <c r="AI7" s="10">
        <v>0.68587970733642578</v>
      </c>
      <c r="AJ7" s="10">
        <v>1.0771890170872211E-2</v>
      </c>
      <c r="AK7" s="10">
        <v>0.85405951738357544</v>
      </c>
      <c r="AL7" s="10">
        <v>1.1826562695205212E-2</v>
      </c>
      <c r="AM7" s="10">
        <v>0.96916109323501587</v>
      </c>
      <c r="AN7" s="10">
        <v>1.9163193646818399E-3</v>
      </c>
      <c r="AO7" s="10">
        <v>0.96730446815490723</v>
      </c>
      <c r="AP7" s="10">
        <v>2.0210279617458582E-3</v>
      </c>
      <c r="AQ7" s="10">
        <v>0.325408935546875</v>
      </c>
      <c r="AR7" s="10">
        <v>2.2002482786774635E-2</v>
      </c>
      <c r="AS7" s="10">
        <v>0.33430105447769165</v>
      </c>
      <c r="AT7" s="10">
        <v>2.0961737260222435E-2</v>
      </c>
      <c r="AU7" s="7"/>
    </row>
    <row r="8" spans="1:47" x14ac:dyDescent="0.3">
      <c r="A8">
        <v>2007</v>
      </c>
      <c r="C8" s="10">
        <v>0.64920073747634888</v>
      </c>
      <c r="D8" s="10">
        <v>5.8985049836337566E-3</v>
      </c>
      <c r="E8" s="10">
        <v>0.68145215511322021</v>
      </c>
      <c r="F8" s="10">
        <v>6.6433674655854702E-3</v>
      </c>
      <c r="G8" s="10">
        <v>0.89086687564849854</v>
      </c>
      <c r="H8" s="10">
        <v>7.0696421898901463E-3</v>
      </c>
      <c r="I8" s="10">
        <v>0.96801477670669556</v>
      </c>
      <c r="J8" s="10">
        <v>9.3233096413314342E-4</v>
      </c>
      <c r="K8" s="10">
        <v>0.95878678560256958</v>
      </c>
      <c r="L8" s="10">
        <v>1.5750062884762883E-3</v>
      </c>
      <c r="M8" s="10">
        <v>0.25761035084724426</v>
      </c>
      <c r="N8" s="10">
        <v>1.273653656244278E-2</v>
      </c>
      <c r="O8" s="10">
        <v>0.2854483425617218</v>
      </c>
      <c r="P8" s="10">
        <v>1.0008958168327808E-2</v>
      </c>
      <c r="Q8" s="11"/>
      <c r="R8" s="10">
        <v>0.32964131236076355</v>
      </c>
      <c r="S8" s="10">
        <v>6.5420446917414665E-3</v>
      </c>
      <c r="T8" s="10">
        <v>0.32560911774635315</v>
      </c>
      <c r="U8" s="10">
        <v>5.289244931191206E-3</v>
      </c>
      <c r="V8" s="10">
        <v>0.91111719608306885</v>
      </c>
      <c r="W8" s="10">
        <v>1.5632050111889839E-2</v>
      </c>
      <c r="X8" s="10">
        <v>0.85923796892166138</v>
      </c>
      <c r="Y8" s="10">
        <v>7.9710930585861206E-3</v>
      </c>
      <c r="Z8" s="10">
        <v>0.80974650382995605</v>
      </c>
      <c r="AA8" s="10">
        <v>9.8907845094799995E-3</v>
      </c>
      <c r="AB8" s="10">
        <v>2.9874924570322037E-2</v>
      </c>
      <c r="AC8" s="10">
        <v>2.5213347747921944E-2</v>
      </c>
      <c r="AD8" s="10">
        <v>8.0280952155590057E-2</v>
      </c>
      <c r="AE8" s="10">
        <v>2.300567738711834E-2</v>
      </c>
      <c r="AF8" s="11"/>
      <c r="AG8" s="10">
        <v>0.63257938623428345</v>
      </c>
      <c r="AH8" s="10">
        <v>1.0949576273560524E-2</v>
      </c>
      <c r="AI8" s="10">
        <v>0.68554526567459106</v>
      </c>
      <c r="AJ8" s="10">
        <v>1.1214567348361015E-2</v>
      </c>
      <c r="AK8" s="10">
        <v>0.92291885614395142</v>
      </c>
      <c r="AL8" s="10">
        <v>1.5172961167991161E-2</v>
      </c>
      <c r="AM8" s="10">
        <v>0.96477276086807251</v>
      </c>
      <c r="AN8" s="10">
        <v>1.9872535485774279E-3</v>
      </c>
      <c r="AO8" s="10">
        <v>0.96225523948669434</v>
      </c>
      <c r="AP8" s="10">
        <v>2.4196002632379532E-3</v>
      </c>
      <c r="AQ8" s="10">
        <v>0.35648614168167114</v>
      </c>
      <c r="AR8" s="10">
        <v>2.5732580572366714E-2</v>
      </c>
      <c r="AS8" s="10">
        <v>0.37031620740890503</v>
      </c>
      <c r="AT8" s="10">
        <v>2.4576542899012566E-2</v>
      </c>
      <c r="AU8" s="7"/>
    </row>
    <row r="9" spans="1:47" x14ac:dyDescent="0.3">
      <c r="A9">
        <v>2008</v>
      </c>
      <c r="C9" s="10">
        <v>0.64886027574539185</v>
      </c>
      <c r="D9" s="10">
        <v>5.7995985262095928E-3</v>
      </c>
      <c r="E9" s="10">
        <v>0.67856818437576294</v>
      </c>
      <c r="F9" s="10">
        <v>5.4026874713599682E-3</v>
      </c>
      <c r="G9" s="10">
        <v>0.87048667669296265</v>
      </c>
      <c r="H9" s="10">
        <v>7.5247250497341156E-3</v>
      </c>
      <c r="I9" s="10">
        <v>0.96694004535675049</v>
      </c>
      <c r="J9" s="10">
        <v>1.030049636028707E-3</v>
      </c>
      <c r="K9" s="10">
        <v>0.9578288197517395</v>
      </c>
      <c r="L9" s="10">
        <v>1.6088027041405439E-3</v>
      </c>
      <c r="M9" s="10">
        <v>0.28179091215133667</v>
      </c>
      <c r="N9" s="10">
        <v>1.1401845142245293E-2</v>
      </c>
      <c r="O9" s="10">
        <v>0.30018627643585205</v>
      </c>
      <c r="P9" s="10">
        <v>1.1158222332596779E-2</v>
      </c>
      <c r="Q9" s="11"/>
      <c r="R9" s="10">
        <v>0.32167446613311768</v>
      </c>
      <c r="S9" s="10">
        <v>5.8203726075589657E-3</v>
      </c>
      <c r="T9" s="10">
        <v>0.32023489475250244</v>
      </c>
      <c r="U9" s="10">
        <v>5.8434531092643738E-3</v>
      </c>
      <c r="V9" s="10">
        <v>0.87587082386016846</v>
      </c>
      <c r="W9" s="10">
        <v>1.4589895494282246E-2</v>
      </c>
      <c r="X9" s="10">
        <v>0.8603481650352478</v>
      </c>
      <c r="Y9" s="10">
        <v>8.067108690738678E-3</v>
      </c>
      <c r="Z9" s="10">
        <v>0.82057178020477295</v>
      </c>
      <c r="AA9" s="10">
        <v>9.6681974828243256E-3</v>
      </c>
      <c r="AB9" s="10">
        <v>8.3655238151550293E-2</v>
      </c>
      <c r="AC9" s="10">
        <v>1.8222121521830559E-2</v>
      </c>
      <c r="AD9" s="10">
        <v>0.12786979973316193</v>
      </c>
      <c r="AE9" s="10">
        <v>2.4506988003849983E-2</v>
      </c>
      <c r="AF9" s="11"/>
      <c r="AG9" s="10">
        <v>0.61493903398513794</v>
      </c>
      <c r="AH9" s="10">
        <v>1.2274662964046001E-2</v>
      </c>
      <c r="AI9" s="10">
        <v>0.66820138692855835</v>
      </c>
      <c r="AJ9" s="10">
        <v>1.1523858644068241E-2</v>
      </c>
      <c r="AK9" s="10">
        <v>0.88159918785095215</v>
      </c>
      <c r="AL9" s="10">
        <v>1.569378562271595E-2</v>
      </c>
      <c r="AM9" s="10">
        <v>0.9678223729133606</v>
      </c>
      <c r="AN9" s="10">
        <v>1.7859585350379348E-3</v>
      </c>
      <c r="AO9" s="10">
        <v>0.96418064832687378</v>
      </c>
      <c r="AP9" s="10">
        <v>2.1867817267775536E-3</v>
      </c>
      <c r="AQ9" s="10">
        <v>0.36430135369300842</v>
      </c>
      <c r="AR9" s="10">
        <v>2.4779960513114929E-2</v>
      </c>
      <c r="AS9" s="10">
        <v>0.38295316696166992</v>
      </c>
      <c r="AT9" s="10">
        <v>2.3760560899972916E-2</v>
      </c>
      <c r="AU9" s="7"/>
    </row>
    <row r="10" spans="1:47" x14ac:dyDescent="0.3">
      <c r="A10">
        <v>2009</v>
      </c>
      <c r="C10" s="10">
        <v>0.62711161375045776</v>
      </c>
      <c r="D10" s="10">
        <v>5.5904057808220387E-3</v>
      </c>
      <c r="E10" s="10">
        <v>0.65896975994110107</v>
      </c>
      <c r="F10" s="10">
        <v>5.6471019051969051E-3</v>
      </c>
      <c r="G10" s="10">
        <v>0.89103025197982788</v>
      </c>
      <c r="H10" s="10">
        <v>7.1566705591976643E-3</v>
      </c>
      <c r="I10" s="10">
        <v>0.96474415063858032</v>
      </c>
      <c r="J10" s="10">
        <v>1.1902886908501387E-3</v>
      </c>
      <c r="K10" s="10">
        <v>0.95677083730697632</v>
      </c>
      <c r="L10" s="10">
        <v>1.6126511618494987E-3</v>
      </c>
      <c r="M10" s="10">
        <v>0.308299720287323</v>
      </c>
      <c r="N10" s="10">
        <v>1.2037892825901508E-2</v>
      </c>
      <c r="O10" s="10">
        <v>0.32055535912513733</v>
      </c>
      <c r="P10" s="10">
        <v>1.2077664956450462E-2</v>
      </c>
      <c r="Q10" s="11"/>
      <c r="R10" s="10">
        <v>0.28635922074317932</v>
      </c>
      <c r="S10" s="10">
        <v>5.1712165586650372E-3</v>
      </c>
      <c r="T10" s="10">
        <v>0.28773745894432068</v>
      </c>
      <c r="U10" s="10">
        <v>4.6113193966448307E-3</v>
      </c>
      <c r="V10" s="10">
        <v>0.88724309206008911</v>
      </c>
      <c r="W10" s="10">
        <v>1.3826902024447918E-2</v>
      </c>
      <c r="X10" s="10">
        <v>0.82084810733795166</v>
      </c>
      <c r="Y10" s="10">
        <v>1.0140444152057171E-2</v>
      </c>
      <c r="Z10" s="10">
        <v>0.79290282726287842</v>
      </c>
      <c r="AA10" s="10">
        <v>1.2383216992020607E-2</v>
      </c>
      <c r="AB10" s="10">
        <v>0.16730593144893646</v>
      </c>
      <c r="AC10" s="10">
        <v>2.5327060371637344E-2</v>
      </c>
      <c r="AD10" s="10">
        <v>0.20573841035366058</v>
      </c>
      <c r="AE10" s="10">
        <v>2.2649362683296204E-2</v>
      </c>
      <c r="AF10" s="11"/>
      <c r="AG10" s="10">
        <v>0.61896651983261108</v>
      </c>
      <c r="AH10" s="10">
        <v>1.1569215916097164E-2</v>
      </c>
      <c r="AI10" s="10">
        <v>0.65970271825790405</v>
      </c>
      <c r="AJ10" s="10">
        <v>1.2816322036087513E-2</v>
      </c>
      <c r="AK10" s="10">
        <v>0.89759683609008789</v>
      </c>
      <c r="AL10" s="10">
        <v>1.4486215077340603E-2</v>
      </c>
      <c r="AM10" s="10">
        <v>0.96763348579406738</v>
      </c>
      <c r="AN10" s="10">
        <v>1.6512827714905143E-3</v>
      </c>
      <c r="AO10" s="10">
        <v>0.96530342102050781</v>
      </c>
      <c r="AP10" s="10">
        <v>2.0270233508199453E-3</v>
      </c>
      <c r="AQ10" s="10">
        <v>0.40693476796150208</v>
      </c>
      <c r="AR10" s="10">
        <v>2.0566225051879883E-2</v>
      </c>
      <c r="AS10" s="10">
        <v>0.40713831782341003</v>
      </c>
      <c r="AT10" s="10">
        <v>2.2173298522830009E-2</v>
      </c>
      <c r="AU10" s="7"/>
    </row>
    <row r="11" spans="1:47" x14ac:dyDescent="0.3">
      <c r="A11">
        <v>2010</v>
      </c>
      <c r="C11" s="10">
        <v>0.65520370006561279</v>
      </c>
      <c r="D11" s="10">
        <v>6.3470932655036449E-3</v>
      </c>
      <c r="E11" s="10">
        <v>0.68648463487625122</v>
      </c>
      <c r="F11" s="10">
        <v>5.5823125876486301E-3</v>
      </c>
      <c r="G11" s="10">
        <v>0.8780713677406311</v>
      </c>
      <c r="H11" s="10">
        <v>6.59151840955019E-3</v>
      </c>
      <c r="I11" s="10">
        <v>0.96768254041671753</v>
      </c>
      <c r="J11" s="10">
        <v>8.6936773732304573E-4</v>
      </c>
      <c r="K11" s="10">
        <v>0.95764392614364624</v>
      </c>
      <c r="L11" s="10">
        <v>1.5498505672439933E-3</v>
      </c>
      <c r="M11" s="10">
        <v>0.29956579208374023</v>
      </c>
      <c r="N11" s="10">
        <v>1.1275911703705788E-2</v>
      </c>
      <c r="O11" s="10">
        <v>0.30784305930137634</v>
      </c>
      <c r="P11" s="10">
        <v>1.181375328451395E-2</v>
      </c>
      <c r="Q11" s="11"/>
      <c r="R11" s="10">
        <v>0.33746927976608276</v>
      </c>
      <c r="S11" s="10">
        <v>6.1703925020992756E-3</v>
      </c>
      <c r="T11" s="10">
        <v>0.33984676003456116</v>
      </c>
      <c r="U11" s="10">
        <v>5.6316535919904709E-3</v>
      </c>
      <c r="V11" s="10">
        <v>0.86598140001296997</v>
      </c>
      <c r="W11" s="10">
        <v>1.4421076513826847E-2</v>
      </c>
      <c r="X11" s="10">
        <v>0.8722417950630188</v>
      </c>
      <c r="Y11" s="10">
        <v>7.3897573165595531E-3</v>
      </c>
      <c r="Z11" s="10">
        <v>0.83326035737991333</v>
      </c>
      <c r="AA11" s="10">
        <v>9.3290684744715691E-3</v>
      </c>
      <c r="AB11" s="10">
        <v>9.6022047102451324E-2</v>
      </c>
      <c r="AC11" s="10">
        <v>2.3867271840572357E-2</v>
      </c>
      <c r="AD11" s="10">
        <v>0.1420435905456543</v>
      </c>
      <c r="AE11" s="10">
        <v>2.2708352655172348E-2</v>
      </c>
      <c r="AF11" s="11"/>
      <c r="AG11" s="10">
        <v>0.6161879301071167</v>
      </c>
      <c r="AH11" s="10">
        <v>1.2674451805651188E-2</v>
      </c>
      <c r="AI11" s="10">
        <v>0.66795408725738525</v>
      </c>
      <c r="AJ11" s="10">
        <v>1.0437813587486744E-2</v>
      </c>
      <c r="AK11" s="10">
        <v>0.86066585779190063</v>
      </c>
      <c r="AL11" s="10">
        <v>1.3989550992846489E-2</v>
      </c>
      <c r="AM11" s="10">
        <v>0.9682387113571167</v>
      </c>
      <c r="AN11" s="10">
        <v>2.0468849688768387E-3</v>
      </c>
      <c r="AO11" s="10">
        <v>0.9639352560043335</v>
      </c>
      <c r="AP11" s="10">
        <v>2.4033128283917904E-3</v>
      </c>
      <c r="AQ11" s="10">
        <v>0.36175882816314697</v>
      </c>
      <c r="AR11" s="10">
        <v>2.7911357581615448E-2</v>
      </c>
      <c r="AS11" s="10">
        <v>0.35842558741569519</v>
      </c>
      <c r="AT11" s="10">
        <v>2.1903673186898232E-2</v>
      </c>
      <c r="AU11" s="7"/>
    </row>
    <row r="12" spans="1:47" x14ac:dyDescent="0.3">
      <c r="A12">
        <v>2011</v>
      </c>
      <c r="C12" s="10">
        <v>0.61079484224319458</v>
      </c>
      <c r="D12" s="10">
        <v>6.1470437794923782E-3</v>
      </c>
      <c r="E12" s="10">
        <v>0.64065724611282349</v>
      </c>
      <c r="F12" s="10">
        <v>6.516721099615097E-3</v>
      </c>
      <c r="G12" s="10">
        <v>0.9093937873840332</v>
      </c>
      <c r="H12" s="10">
        <v>7.2240130975842476E-3</v>
      </c>
      <c r="I12" s="10">
        <v>0.96151936054229736</v>
      </c>
      <c r="J12" s="10">
        <v>1.3279312988743186E-3</v>
      </c>
      <c r="K12" s="10">
        <v>0.9519045352935791</v>
      </c>
      <c r="L12" s="10">
        <v>1.668027020059526E-3</v>
      </c>
      <c r="M12" s="10">
        <v>0.29965955018997192</v>
      </c>
      <c r="N12" s="10">
        <v>1.3364225625991821E-2</v>
      </c>
      <c r="O12" s="10">
        <v>0.31461423635482788</v>
      </c>
      <c r="P12" s="10">
        <v>1.2850988656282425E-2</v>
      </c>
      <c r="Q12" s="11"/>
      <c r="R12" s="10">
        <v>0.29254904389381409</v>
      </c>
      <c r="S12" s="10">
        <v>5.4713538847863674E-3</v>
      </c>
      <c r="T12" s="10">
        <v>0.29636010527610779</v>
      </c>
      <c r="U12" s="10">
        <v>5.0690937787294388E-3</v>
      </c>
      <c r="V12" s="10">
        <v>0.94212210178375244</v>
      </c>
      <c r="W12" s="10">
        <v>1.6818318516016006E-2</v>
      </c>
      <c r="X12" s="10">
        <v>0.80755144357681274</v>
      </c>
      <c r="Y12" s="10">
        <v>9.0427184477448463E-3</v>
      </c>
      <c r="Z12" s="10">
        <v>0.76108485460281372</v>
      </c>
      <c r="AA12" s="10">
        <v>1.2147668749094009E-2</v>
      </c>
      <c r="AB12" s="10">
        <v>0.20775270462036133</v>
      </c>
      <c r="AC12" s="10">
        <v>2.797652967274189E-2</v>
      </c>
      <c r="AD12" s="10">
        <v>0.24843156337738037</v>
      </c>
      <c r="AE12" s="10">
        <v>2.4111265316605568E-2</v>
      </c>
      <c r="AF12" s="11"/>
      <c r="AG12" s="10">
        <v>0.60186898708343506</v>
      </c>
      <c r="AH12" s="10">
        <v>1.2445349246263504E-2</v>
      </c>
      <c r="AI12" s="10">
        <v>0.64666199684143066</v>
      </c>
      <c r="AJ12" s="10">
        <v>1.0106019675731659E-2</v>
      </c>
      <c r="AK12" s="10">
        <v>0.92681211233139038</v>
      </c>
      <c r="AL12" s="10">
        <v>1.7509005963802338E-2</v>
      </c>
      <c r="AM12" s="10">
        <v>0.96496826410293579</v>
      </c>
      <c r="AN12" s="10">
        <v>2.1027459297329187E-3</v>
      </c>
      <c r="AO12" s="10">
        <v>0.96121466159820557</v>
      </c>
      <c r="AP12" s="10">
        <v>2.717386232689023E-3</v>
      </c>
      <c r="AQ12" s="10">
        <v>0.37313726544380188</v>
      </c>
      <c r="AR12" s="10">
        <v>2.2380037233233452E-2</v>
      </c>
      <c r="AS12" s="10">
        <v>0.39721223711967468</v>
      </c>
      <c r="AT12" s="10">
        <v>2.309097908437252E-2</v>
      </c>
      <c r="AU12" s="7"/>
    </row>
    <row r="13" spans="1:47" x14ac:dyDescent="0.3">
      <c r="A13">
        <v>2012</v>
      </c>
      <c r="C13" s="10">
        <v>0.65408593416213989</v>
      </c>
      <c r="D13" s="10">
        <v>6.3704489730298519E-3</v>
      </c>
      <c r="E13" s="10">
        <v>0.68569803237915039</v>
      </c>
      <c r="F13" s="10">
        <v>6.3235675916075706E-3</v>
      </c>
      <c r="G13" s="10">
        <v>0.95412099361419678</v>
      </c>
      <c r="H13" s="10">
        <v>8.8286614045500755E-3</v>
      </c>
      <c r="I13" s="10">
        <v>0.96417796611785889</v>
      </c>
      <c r="J13" s="10">
        <v>1.1795697500929236E-3</v>
      </c>
      <c r="K13" s="10">
        <v>0.95295369625091553</v>
      </c>
      <c r="L13" s="10">
        <v>1.6334226820617914E-3</v>
      </c>
      <c r="M13" s="10">
        <v>0.30927333235740662</v>
      </c>
      <c r="N13" s="10">
        <v>1.2323509901762009E-2</v>
      </c>
      <c r="O13" s="10">
        <v>0.31006103754043579</v>
      </c>
      <c r="P13" s="10">
        <v>1.232535857707262E-2</v>
      </c>
      <c r="Q13" s="11"/>
      <c r="R13" s="10">
        <v>0.33621406555175781</v>
      </c>
      <c r="S13" s="10">
        <v>7.1199694648385048E-3</v>
      </c>
      <c r="T13" s="10">
        <v>0.32756993174552917</v>
      </c>
      <c r="U13" s="10">
        <v>6.2441024929285049E-3</v>
      </c>
      <c r="V13" s="10">
        <v>0.98781490325927734</v>
      </c>
      <c r="W13" s="10">
        <v>1.7714384943246841E-2</v>
      </c>
      <c r="X13" s="10">
        <v>0.85048335790634155</v>
      </c>
      <c r="Y13" s="10">
        <v>7.792315911501646E-3</v>
      </c>
      <c r="Z13" s="10">
        <v>0.7841116189956665</v>
      </c>
      <c r="AA13" s="10">
        <v>1.0495590977370739E-2</v>
      </c>
      <c r="AB13" s="10">
        <v>0.1142314225435257</v>
      </c>
      <c r="AC13" s="10">
        <v>2.9197780415415764E-2</v>
      </c>
      <c r="AD13" s="10">
        <v>0.14933156967163086</v>
      </c>
      <c r="AE13" s="10">
        <v>2.339167520403862E-2</v>
      </c>
      <c r="AF13" s="11"/>
      <c r="AG13" s="10">
        <v>0.63636815547943115</v>
      </c>
      <c r="AH13" s="10">
        <v>1.2540355324745178E-2</v>
      </c>
      <c r="AI13" s="10">
        <v>0.68354952335357666</v>
      </c>
      <c r="AJ13" s="10">
        <v>1.3685710728168488E-2</v>
      </c>
      <c r="AK13" s="10">
        <v>0.96905988454818726</v>
      </c>
      <c r="AL13" s="10">
        <v>1.7433896660804749E-2</v>
      </c>
      <c r="AM13" s="10">
        <v>0.96956074237823486</v>
      </c>
      <c r="AN13" s="10">
        <v>1.7042277613654733E-3</v>
      </c>
      <c r="AO13" s="10">
        <v>0.96670758724212646</v>
      </c>
      <c r="AP13" s="10">
        <v>1.9286511233076453E-3</v>
      </c>
      <c r="AQ13" s="10">
        <v>0.35377386212348938</v>
      </c>
      <c r="AR13" s="10">
        <v>2.8548972681164742E-2</v>
      </c>
      <c r="AS13" s="10">
        <v>0.38594529032707214</v>
      </c>
      <c r="AT13" s="10">
        <v>2.5260360911488533E-2</v>
      </c>
      <c r="AU13" s="7"/>
    </row>
    <row r="14" spans="1:47" x14ac:dyDescent="0.3">
      <c r="A14">
        <v>2013</v>
      </c>
      <c r="C14" s="10">
        <v>0.65930306911468506</v>
      </c>
      <c r="D14" s="10">
        <v>6.4509916119277477E-3</v>
      </c>
      <c r="E14" s="10">
        <v>0.6855696439743042</v>
      </c>
      <c r="F14" s="10">
        <v>7.1667400188744068E-3</v>
      </c>
      <c r="G14" s="10">
        <v>0.98595666885375977</v>
      </c>
      <c r="H14" s="10">
        <v>8.37736576795578E-3</v>
      </c>
      <c r="I14" s="10">
        <v>0.96381449699401855</v>
      </c>
      <c r="J14" s="10">
        <v>1.2248491402715445E-3</v>
      </c>
      <c r="K14" s="10">
        <v>0.95242470502853394</v>
      </c>
      <c r="L14" s="10">
        <v>1.9084684317931533E-3</v>
      </c>
      <c r="M14" s="10">
        <v>0.32198348641395569</v>
      </c>
      <c r="N14" s="10">
        <v>1.3652684167027473E-2</v>
      </c>
      <c r="O14" s="10">
        <v>0.32423308491706848</v>
      </c>
      <c r="P14" s="10">
        <v>1.3748832046985626E-2</v>
      </c>
      <c r="Q14" s="11"/>
      <c r="R14" s="10">
        <v>0.33348625898361206</v>
      </c>
      <c r="S14" s="10">
        <v>6.4033567905426025E-3</v>
      </c>
      <c r="T14" s="10">
        <v>0.31752380728721619</v>
      </c>
      <c r="U14" s="10">
        <v>6.4580859616398811E-3</v>
      </c>
      <c r="V14" s="10">
        <v>1.0155563354492188</v>
      </c>
      <c r="W14" s="10">
        <v>1.8314434215426445E-2</v>
      </c>
      <c r="X14" s="10">
        <v>0.83194828033447266</v>
      </c>
      <c r="Y14" s="10">
        <v>8.637523278594017E-3</v>
      </c>
      <c r="Z14" s="10">
        <v>0.78349077701568604</v>
      </c>
      <c r="AA14" s="10">
        <v>1.1982850730419159E-2</v>
      </c>
      <c r="AB14" s="10">
        <v>0.15389753878116608</v>
      </c>
      <c r="AC14" s="10">
        <v>2.5270739570260048E-2</v>
      </c>
      <c r="AD14" s="10">
        <v>0.18577283620834351</v>
      </c>
      <c r="AE14" s="10">
        <v>3.048834390938282E-2</v>
      </c>
      <c r="AF14" s="11"/>
      <c r="AG14" s="10">
        <v>0.63466602563858032</v>
      </c>
      <c r="AH14" s="10">
        <v>1.4225433580577374E-2</v>
      </c>
      <c r="AI14" s="10">
        <v>0.68482595682144165</v>
      </c>
      <c r="AJ14" s="10">
        <v>1.3341379351913929E-2</v>
      </c>
      <c r="AK14" s="10">
        <v>0.99850022792816162</v>
      </c>
      <c r="AL14" s="10">
        <v>1.4797125943005085E-2</v>
      </c>
      <c r="AM14" s="10">
        <v>0.96588009595870972</v>
      </c>
      <c r="AN14" s="10">
        <v>2.3637537378817797E-3</v>
      </c>
      <c r="AO14" s="10">
        <v>0.96013641357421875</v>
      </c>
      <c r="AP14" s="10">
        <v>3.3940444700419903E-3</v>
      </c>
      <c r="AQ14" s="10">
        <v>0.39368146657943726</v>
      </c>
      <c r="AR14" s="10">
        <v>2.8054673224687576E-2</v>
      </c>
      <c r="AS14" s="10">
        <v>0.42107537388801575</v>
      </c>
      <c r="AT14" s="10">
        <v>2.715185284614563E-2</v>
      </c>
      <c r="AU14" s="7"/>
    </row>
  </sheetData>
  <mergeCells count="21">
    <mergeCell ref="I2:L2"/>
    <mergeCell ref="M2:P2"/>
    <mergeCell ref="X2:AA2"/>
    <mergeCell ref="AB2:AE2"/>
    <mergeCell ref="AM2:AP2"/>
    <mergeCell ref="C1:P1"/>
    <mergeCell ref="R1:AE1"/>
    <mergeCell ref="AG1:AT1"/>
    <mergeCell ref="AQ2:AT2"/>
    <mergeCell ref="I3:J3"/>
    <mergeCell ref="K3:L3"/>
    <mergeCell ref="M3:N3"/>
    <mergeCell ref="O3:P3"/>
    <mergeCell ref="X3:Y3"/>
    <mergeCell ref="Z3:AA3"/>
    <mergeCell ref="AB3:AC3"/>
    <mergeCell ref="AD3:AE3"/>
    <mergeCell ref="AM3:AN3"/>
    <mergeCell ref="AO3:AP3"/>
    <mergeCell ref="AQ3:AR3"/>
    <mergeCell ref="AS3:AT3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B6FC8-CDF4-486A-890D-203B6EFE317F}">
  <dimension ref="A1:AM21"/>
  <sheetViews>
    <sheetView workbookViewId="0">
      <selection activeCell="P35" sqref="P35"/>
    </sheetView>
  </sheetViews>
  <sheetFormatPr defaultColWidth="8.77734375" defaultRowHeight="14.4" x14ac:dyDescent="0.3"/>
  <sheetData>
    <row r="1" spans="1:39" x14ac:dyDescent="0.3">
      <c r="C1" s="4" t="s">
        <v>55</v>
      </c>
      <c r="F1" s="22" t="s">
        <v>57</v>
      </c>
      <c r="G1" s="22"/>
      <c r="H1" s="22"/>
      <c r="I1" s="22"/>
      <c r="J1" s="22"/>
      <c r="K1" s="22"/>
      <c r="L1" s="22"/>
      <c r="M1" s="22"/>
      <c r="N1" s="22"/>
      <c r="O1" s="22"/>
      <c r="Q1" s="4" t="s">
        <v>63</v>
      </c>
      <c r="S1" s="4" t="s">
        <v>64</v>
      </c>
      <c r="U1" s="4" t="s">
        <v>66</v>
      </c>
      <c r="W1" s="22" t="s">
        <v>69</v>
      </c>
      <c r="X1" s="22"/>
      <c r="Y1" s="22"/>
      <c r="Z1" s="22"/>
      <c r="AA1" s="22"/>
      <c r="AB1" s="22" t="s">
        <v>82</v>
      </c>
      <c r="AC1" s="22"/>
      <c r="AD1" s="22" t="s">
        <v>75</v>
      </c>
      <c r="AE1" s="22"/>
      <c r="AF1" s="22"/>
      <c r="AG1" s="22"/>
      <c r="AH1" s="22"/>
      <c r="AI1" s="22" t="s">
        <v>78</v>
      </c>
      <c r="AJ1" s="22"/>
      <c r="AK1" s="22"/>
      <c r="AL1" s="22"/>
      <c r="AM1" s="22"/>
    </row>
    <row r="2" spans="1:39" x14ac:dyDescent="0.3">
      <c r="C2" s="4" t="s">
        <v>56</v>
      </c>
      <c r="F2" s="4" t="s">
        <v>58</v>
      </c>
      <c r="H2" s="4" t="s">
        <v>59</v>
      </c>
      <c r="J2" s="4" t="s">
        <v>60</v>
      </c>
      <c r="L2" s="4" t="s">
        <v>61</v>
      </c>
      <c r="N2" s="4" t="s">
        <v>62</v>
      </c>
      <c r="S2" s="4" t="s">
        <v>65</v>
      </c>
      <c r="W2" s="4" t="s">
        <v>70</v>
      </c>
      <c r="X2" s="4" t="s">
        <v>71</v>
      </c>
      <c r="Y2" s="4" t="s">
        <v>72</v>
      </c>
      <c r="Z2" s="4" t="s">
        <v>73</v>
      </c>
      <c r="AA2" s="4" t="s">
        <v>74</v>
      </c>
      <c r="AB2" s="4" t="s">
        <v>38</v>
      </c>
      <c r="AC2" s="4" t="s">
        <v>37</v>
      </c>
      <c r="AD2" s="4" t="s">
        <v>71</v>
      </c>
      <c r="AE2" s="4" t="s">
        <v>74</v>
      </c>
      <c r="AF2" s="4" t="s">
        <v>76</v>
      </c>
      <c r="AG2" s="4" t="s">
        <v>77</v>
      </c>
      <c r="AH2" s="4" t="s">
        <v>79</v>
      </c>
      <c r="AI2" s="4" t="s">
        <v>67</v>
      </c>
      <c r="AJ2" s="4" t="s">
        <v>68</v>
      </c>
      <c r="AK2" s="4" t="s">
        <v>81</v>
      </c>
      <c r="AL2" s="4" t="s">
        <v>80</v>
      </c>
      <c r="AM2" s="4" t="s">
        <v>43</v>
      </c>
    </row>
    <row r="4" spans="1:39" x14ac:dyDescent="0.3">
      <c r="A4">
        <v>2003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</row>
    <row r="5" spans="1:39" x14ac:dyDescent="0.3">
      <c r="A5">
        <v>2004</v>
      </c>
      <c r="C5" s="13">
        <v>0.78110545873641968</v>
      </c>
      <c r="D5" s="13">
        <v>4.0034814737737179E-3</v>
      </c>
      <c r="E5" s="14"/>
      <c r="F5" s="13">
        <v>9.1783971786499023</v>
      </c>
      <c r="G5" s="13">
        <v>9.2305801808834076E-2</v>
      </c>
      <c r="H5" s="13">
        <v>3.7000000476837158</v>
      </c>
      <c r="I5" s="13">
        <v>5.8352846652269363E-2</v>
      </c>
      <c r="J5" s="13">
        <v>6</v>
      </c>
      <c r="K5" s="13">
        <v>5.573200061917305E-2</v>
      </c>
      <c r="L5" s="13">
        <v>10.600000381469727</v>
      </c>
      <c r="M5" s="13">
        <v>0.15258708596229553</v>
      </c>
      <c r="N5" s="13">
        <v>0.86392700672149658</v>
      </c>
      <c r="O5" s="13">
        <v>7.8638391569256783E-3</v>
      </c>
      <c r="P5" s="14"/>
      <c r="Q5" s="13">
        <v>0.28079169988632202</v>
      </c>
      <c r="R5" s="14"/>
      <c r="S5" s="13">
        <v>0.99009543657302856</v>
      </c>
      <c r="T5" s="14"/>
      <c r="U5" s="13">
        <v>272.00091552734375</v>
      </c>
      <c r="V5" s="18"/>
      <c r="W5" s="13">
        <v>0.18503899872303009</v>
      </c>
      <c r="X5" s="13">
        <v>5.2156753838062286E-2</v>
      </c>
      <c r="Y5" s="13">
        <v>0.77906209230422974</v>
      </c>
      <c r="Z5" s="13">
        <v>0.1524934321641922</v>
      </c>
      <c r="AA5" s="13">
        <v>1.8925663083791733E-2</v>
      </c>
      <c r="AB5" s="13">
        <v>8.3844594955444336</v>
      </c>
      <c r="AC5" s="13">
        <v>3.2999999523162842</v>
      </c>
      <c r="AD5" s="13">
        <v>7.3111645877361298E-2</v>
      </c>
      <c r="AE5" s="13">
        <v>3.8792580366134644E-2</v>
      </c>
      <c r="AF5" s="13">
        <v>5.615503340959549E-2</v>
      </c>
      <c r="AG5" s="13">
        <v>4.7879926860332489E-2</v>
      </c>
      <c r="AH5" s="13">
        <v>8.3694495260715485E-2</v>
      </c>
      <c r="AI5" s="13">
        <v>0.3569188117980957</v>
      </c>
      <c r="AJ5" s="13">
        <v>0.35663586854934692</v>
      </c>
      <c r="AK5" s="13">
        <v>6.8665578961372375E-2</v>
      </c>
      <c r="AL5" s="13">
        <v>6.8543262779712677E-2</v>
      </c>
      <c r="AM5" s="13">
        <v>8.7227247655391693E-2</v>
      </c>
    </row>
    <row r="6" spans="1:39" x14ac:dyDescent="0.3">
      <c r="A6">
        <v>2005</v>
      </c>
      <c r="C6" s="10">
        <v>0.77425068616867065</v>
      </c>
      <c r="D6" s="10">
        <v>3.7012833636254072E-3</v>
      </c>
      <c r="E6" s="11"/>
      <c r="F6" s="10">
        <v>9.3437671661376953</v>
      </c>
      <c r="G6" s="10">
        <v>0.10856089740991592</v>
      </c>
      <c r="H6" s="10">
        <v>3.7000000476837158</v>
      </c>
      <c r="I6" s="10">
        <v>6.2044326215982437E-2</v>
      </c>
      <c r="J6" s="10">
        <v>6.0999999046325684</v>
      </c>
      <c r="K6" s="10">
        <v>7.9066477715969086E-2</v>
      </c>
      <c r="L6" s="10">
        <v>11</v>
      </c>
      <c r="M6" s="10">
        <v>0.11838558316230774</v>
      </c>
      <c r="N6" s="10">
        <v>0.87507408857345581</v>
      </c>
      <c r="O6" s="10">
        <v>8.2203373312950134E-3</v>
      </c>
      <c r="P6" s="11"/>
      <c r="Q6" s="10">
        <v>0.28296747803688049</v>
      </c>
      <c r="R6" s="11"/>
      <c r="S6" s="10">
        <v>0.98696011304855347</v>
      </c>
      <c r="T6" s="11"/>
      <c r="U6" s="10">
        <v>275.36013793945313</v>
      </c>
      <c r="V6" s="16"/>
      <c r="W6" s="10">
        <v>0.18632744252681732</v>
      </c>
      <c r="X6" s="10">
        <v>5.243891105055809E-2</v>
      </c>
      <c r="Y6" s="10">
        <v>0.7783471941947937</v>
      </c>
      <c r="Z6" s="10">
        <v>0.15772497653961182</v>
      </c>
      <c r="AA6" s="10">
        <v>1.9974127411842346E-2</v>
      </c>
      <c r="AB6" s="10">
        <v>8.7639884948730469</v>
      </c>
      <c r="AC6" s="10">
        <v>3.2000000476837158</v>
      </c>
      <c r="AD6" s="10">
        <v>7.546234130859375E-2</v>
      </c>
      <c r="AE6" s="10">
        <v>4.1132021695375443E-2</v>
      </c>
      <c r="AF6" s="10">
        <v>5.3000777959823608E-2</v>
      </c>
      <c r="AG6" s="10">
        <v>4.5189466327428818E-2</v>
      </c>
      <c r="AH6" s="10">
        <v>8.7043404579162598E-2</v>
      </c>
      <c r="AI6" s="10">
        <v>0.34616455435752869</v>
      </c>
      <c r="AJ6" s="10">
        <v>0.33581674098968506</v>
      </c>
      <c r="AK6" s="10">
        <v>8.4242880344390869E-2</v>
      </c>
      <c r="AL6" s="10">
        <v>8.7990358471870422E-2</v>
      </c>
      <c r="AM6" s="10">
        <v>0.10508682578802109</v>
      </c>
    </row>
    <row r="7" spans="1:39" x14ac:dyDescent="0.3">
      <c r="A7">
        <v>2006</v>
      </c>
      <c r="C7" s="10">
        <v>0.7538144588470459</v>
      </c>
      <c r="D7" s="10">
        <v>4.1822567582130432E-3</v>
      </c>
      <c r="E7" s="11"/>
      <c r="F7" s="10">
        <v>9.3850526809692383</v>
      </c>
      <c r="G7" s="10">
        <v>9.3471452593803406E-2</v>
      </c>
      <c r="H7" s="10">
        <v>3.7000000476837158</v>
      </c>
      <c r="I7" s="10">
        <v>4.8189438879489899E-2</v>
      </c>
      <c r="J7" s="10">
        <v>6.1999998092651367</v>
      </c>
      <c r="K7" s="10">
        <v>8.5980646312236786E-2</v>
      </c>
      <c r="L7" s="10">
        <v>11</v>
      </c>
      <c r="M7" s="10">
        <v>9.762844443321228E-2</v>
      </c>
      <c r="N7" s="10">
        <v>0.88467174768447876</v>
      </c>
      <c r="O7" s="10">
        <v>7.5043658725917339E-3</v>
      </c>
      <c r="P7" s="11"/>
      <c r="Q7" s="10">
        <v>0.27626419067382813</v>
      </c>
      <c r="R7" s="11"/>
      <c r="S7" s="10">
        <v>0.98628294467926025</v>
      </c>
      <c r="T7" s="11"/>
      <c r="U7" s="10">
        <v>276.982177734375</v>
      </c>
      <c r="V7" s="16"/>
      <c r="W7" s="10">
        <v>0.20038457214832306</v>
      </c>
      <c r="X7" s="10">
        <v>5.5156361311674118E-2</v>
      </c>
      <c r="Y7" s="10">
        <v>0.76216983795166016</v>
      </c>
      <c r="Z7" s="10">
        <v>0.18242371082305908</v>
      </c>
      <c r="AA7" s="10">
        <v>1.9737871363759041E-2</v>
      </c>
      <c r="AB7" s="10">
        <v>9.6570100784301758</v>
      </c>
      <c r="AC7" s="10">
        <v>3.4000000953674316</v>
      </c>
      <c r="AD7" s="10">
        <v>8.368934690952301E-2</v>
      </c>
      <c r="AE7" s="10">
        <v>4.5743502676486969E-2</v>
      </c>
      <c r="AF7" s="10">
        <v>5.3402502089738846E-2</v>
      </c>
      <c r="AG7" s="10">
        <v>4.7675080597400665E-2</v>
      </c>
      <c r="AH7" s="10">
        <v>0.10602918267250061</v>
      </c>
      <c r="AI7" s="10">
        <v>0.33028274774551392</v>
      </c>
      <c r="AJ7" s="10">
        <v>0.32838869094848633</v>
      </c>
      <c r="AK7" s="10">
        <v>9.4883300364017487E-2</v>
      </c>
      <c r="AL7" s="10">
        <v>9.5876730978488922E-2</v>
      </c>
      <c r="AM7" s="10">
        <v>0.11414599418640137</v>
      </c>
    </row>
    <row r="8" spans="1:39" x14ac:dyDescent="0.3">
      <c r="A8">
        <v>2007</v>
      </c>
      <c r="C8" s="10">
        <v>0.71302974224090576</v>
      </c>
      <c r="D8" s="10">
        <v>4.1951155290007591E-3</v>
      </c>
      <c r="E8" s="11"/>
      <c r="F8" s="10">
        <v>10.099576950073242</v>
      </c>
      <c r="G8" s="10">
        <v>0.13409164547920227</v>
      </c>
      <c r="H8" s="10">
        <v>3.5999999046325684</v>
      </c>
      <c r="I8" s="10">
        <v>4.4164497405290604E-2</v>
      </c>
      <c r="J8" s="10">
        <v>6.4000000953674316</v>
      </c>
      <c r="K8" s="10">
        <v>0.10480865091085434</v>
      </c>
      <c r="L8" s="10">
        <v>12</v>
      </c>
      <c r="M8" s="10">
        <v>0.12750911712646484</v>
      </c>
      <c r="N8" s="10">
        <v>0.96750533580780029</v>
      </c>
      <c r="O8" s="10">
        <v>9.4610909000039101E-3</v>
      </c>
      <c r="P8" s="11"/>
      <c r="Q8" s="10">
        <v>0.25163832306861877</v>
      </c>
      <c r="R8" s="11"/>
      <c r="S8" s="10">
        <v>0.98332774639129639</v>
      </c>
      <c r="T8" s="11"/>
      <c r="U8" s="10">
        <v>279.00445556640625</v>
      </c>
      <c r="V8" s="16"/>
      <c r="W8" s="10">
        <v>0.20727497339248657</v>
      </c>
      <c r="X8" s="10">
        <v>5.6843403726816177E-2</v>
      </c>
      <c r="Y8" s="10">
        <v>0.75437730550765991</v>
      </c>
      <c r="Z8" s="10">
        <v>0.27063944935798645</v>
      </c>
      <c r="AA8" s="10">
        <v>2.1728822961449623E-2</v>
      </c>
      <c r="AB8" s="10">
        <v>14.60184383392334</v>
      </c>
      <c r="AC8" s="10">
        <v>3.9000000953674316</v>
      </c>
      <c r="AD8" s="10">
        <v>8.9766129851341248E-2</v>
      </c>
      <c r="AE8" s="10">
        <v>5.378454178571701E-2</v>
      </c>
      <c r="AF8" s="10">
        <v>6.1895553022623062E-2</v>
      </c>
      <c r="AG8" s="10">
        <v>6.3157700002193451E-2</v>
      </c>
      <c r="AH8" s="10">
        <v>0.14461183547973633</v>
      </c>
      <c r="AI8" s="10">
        <v>0.34959098696708679</v>
      </c>
      <c r="AJ8" s="10">
        <v>0.34674564003944397</v>
      </c>
      <c r="AK8" s="10">
        <v>9.6576489508152008E-2</v>
      </c>
      <c r="AL8" s="10">
        <v>9.5571465790271759E-2</v>
      </c>
      <c r="AM8" s="10">
        <v>0.11632397025823593</v>
      </c>
    </row>
    <row r="9" spans="1:39" x14ac:dyDescent="0.3">
      <c r="A9">
        <v>2008</v>
      </c>
      <c r="C9" s="10">
        <v>0.70112687349319458</v>
      </c>
      <c r="D9" s="10">
        <v>4.1259997524321079E-3</v>
      </c>
      <c r="E9" s="11"/>
      <c r="F9" s="10">
        <v>9.9797677993774414</v>
      </c>
      <c r="G9" s="10">
        <v>0.13383015990257263</v>
      </c>
      <c r="H9" s="10">
        <v>3.5999999046325684</v>
      </c>
      <c r="I9" s="10">
        <v>5.8352582156658173E-2</v>
      </c>
      <c r="J9" s="10">
        <v>6.1000003814697266</v>
      </c>
      <c r="K9" s="10">
        <v>0.1258215457201004</v>
      </c>
      <c r="L9" s="10">
        <v>11.600000381469727</v>
      </c>
      <c r="M9" s="10">
        <v>0.19672252237796783</v>
      </c>
      <c r="N9" s="10">
        <v>0.94827908277511597</v>
      </c>
      <c r="O9" s="10">
        <v>9.4158723950386047E-3</v>
      </c>
      <c r="P9" s="11"/>
      <c r="Q9" s="10">
        <v>0.24849854409694672</v>
      </c>
      <c r="R9" s="11"/>
      <c r="S9" s="10">
        <v>0.9839586615562439</v>
      </c>
      <c r="T9" s="11"/>
      <c r="U9" s="10">
        <v>275.66555786132813</v>
      </c>
      <c r="V9" s="16"/>
      <c r="W9" s="10">
        <v>0.20954583585262299</v>
      </c>
      <c r="X9" s="10">
        <v>6.4897112548351288E-2</v>
      </c>
      <c r="Y9" s="10">
        <v>0.74491661787033081</v>
      </c>
      <c r="Z9" s="10">
        <v>0.19503284990787506</v>
      </c>
      <c r="AA9" s="10">
        <v>2.5741174817085266E-2</v>
      </c>
      <c r="AB9" s="10">
        <v>10.235793113708496</v>
      </c>
      <c r="AC9" s="10">
        <v>3.7000000476837158</v>
      </c>
      <c r="AD9" s="10">
        <v>0.10175857692956924</v>
      </c>
      <c r="AE9" s="10">
        <v>8.9102111756801605E-2</v>
      </c>
      <c r="AF9" s="10">
        <v>6.4623527228832245E-2</v>
      </c>
      <c r="AG9" s="10">
        <v>7.2059795260429382E-2</v>
      </c>
      <c r="AH9" s="10">
        <v>0.15790578722953796</v>
      </c>
      <c r="AI9" s="10">
        <v>0.3436146080493927</v>
      </c>
      <c r="AJ9" s="10">
        <v>0.34621676802635193</v>
      </c>
      <c r="AK9" s="10">
        <v>0.12062178552150726</v>
      </c>
      <c r="AL9" s="10">
        <v>0.12344346940517426</v>
      </c>
      <c r="AM9" s="10">
        <v>0.14347943663597107</v>
      </c>
    </row>
    <row r="10" spans="1:39" x14ac:dyDescent="0.3">
      <c r="A10">
        <v>2009</v>
      </c>
      <c r="C10" s="10">
        <v>0.66212320327758789</v>
      </c>
      <c r="D10" s="10">
        <v>4.7547887079417706E-3</v>
      </c>
      <c r="E10" s="11"/>
      <c r="F10" s="10">
        <v>10.206972122192383</v>
      </c>
      <c r="G10" s="10">
        <v>0.14267975091934204</v>
      </c>
      <c r="H10" s="10">
        <v>3.5</v>
      </c>
      <c r="I10" s="10">
        <v>3.8677599281072617E-2</v>
      </c>
      <c r="J10" s="10">
        <v>6.1499996185302734</v>
      </c>
      <c r="K10" s="10">
        <v>0.12400209158658981</v>
      </c>
      <c r="L10" s="10">
        <v>12</v>
      </c>
      <c r="M10" s="10">
        <v>0.1596863865852356</v>
      </c>
      <c r="N10" s="10">
        <v>0.96315771341323853</v>
      </c>
      <c r="O10" s="10">
        <v>9.065140038728714E-3</v>
      </c>
      <c r="P10" s="11"/>
      <c r="Q10" s="10">
        <v>0.26663681864738464</v>
      </c>
      <c r="R10" s="11"/>
      <c r="S10" s="10">
        <v>0.98451584577560425</v>
      </c>
      <c r="T10" s="11"/>
      <c r="U10" s="10">
        <v>277.04019165039063</v>
      </c>
      <c r="V10" s="16"/>
      <c r="W10" s="10">
        <v>0.22182634472846985</v>
      </c>
      <c r="X10" s="10">
        <v>6.4133018255233765E-2</v>
      </c>
      <c r="Y10" s="10">
        <v>0.73145949840545654</v>
      </c>
      <c r="Z10" s="10">
        <v>0.25428673624992371</v>
      </c>
      <c r="AA10" s="10">
        <v>2.0538968965411186E-2</v>
      </c>
      <c r="AB10" s="10">
        <v>12.979476928710938</v>
      </c>
      <c r="AC10" s="10">
        <v>4</v>
      </c>
      <c r="AD10" s="10">
        <v>9.8034076392650604E-2</v>
      </c>
      <c r="AE10" s="10">
        <v>6.1341855674982071E-2</v>
      </c>
      <c r="AF10" s="10">
        <v>5.3123634308576584E-2</v>
      </c>
      <c r="AG10" s="10">
        <v>6.8803153932094574E-2</v>
      </c>
      <c r="AH10" s="10">
        <v>0.18905104696750641</v>
      </c>
      <c r="AI10" s="10">
        <v>0.41301694512367249</v>
      </c>
      <c r="AJ10" s="10">
        <v>0.41055771708488464</v>
      </c>
      <c r="AK10" s="10">
        <v>0.16430254280567169</v>
      </c>
      <c r="AL10" s="10">
        <v>0.1596253514289856</v>
      </c>
      <c r="AM10" s="10">
        <v>0.1861526221036911</v>
      </c>
    </row>
    <row r="11" spans="1:39" x14ac:dyDescent="0.3">
      <c r="A11">
        <v>2010</v>
      </c>
      <c r="C11" s="10">
        <v>0.65014725923538208</v>
      </c>
      <c r="D11" s="10">
        <v>4.2532486841082573E-3</v>
      </c>
      <c r="E11" s="11"/>
      <c r="F11" s="10">
        <v>9.7158002853393555</v>
      </c>
      <c r="G11" s="10">
        <v>0.11270392686128616</v>
      </c>
      <c r="H11" s="10">
        <v>3.5</v>
      </c>
      <c r="I11" s="10">
        <v>3.7118393927812576E-2</v>
      </c>
      <c r="J11" s="10">
        <v>6.1999998092651367</v>
      </c>
      <c r="K11" s="10">
        <v>0.11385797709226608</v>
      </c>
      <c r="L11" s="10">
        <v>12</v>
      </c>
      <c r="M11" s="10">
        <v>0.21440304815769196</v>
      </c>
      <c r="N11" s="10">
        <v>0.94313263893127441</v>
      </c>
      <c r="O11" s="10">
        <v>9.4567490741610527E-3</v>
      </c>
      <c r="P11" s="11"/>
      <c r="Q11" s="10">
        <v>0.25091469287872314</v>
      </c>
      <c r="R11" s="11"/>
      <c r="S11" s="10">
        <v>0.98147618770599365</v>
      </c>
      <c r="T11" s="11"/>
      <c r="U11" s="10">
        <v>276.04385375976563</v>
      </c>
      <c r="V11" s="16"/>
      <c r="W11" s="10">
        <v>0.20335820317268372</v>
      </c>
      <c r="X11" s="10">
        <v>7.4893392622470856E-2</v>
      </c>
      <c r="Y11" s="10">
        <v>0.73947227001190186</v>
      </c>
      <c r="Z11" s="10">
        <v>0.17258970439434052</v>
      </c>
      <c r="AA11" s="10">
        <v>3.0188595876097679E-2</v>
      </c>
      <c r="AB11" s="10">
        <v>9.1585187911987305</v>
      </c>
      <c r="AC11" s="10">
        <v>4</v>
      </c>
      <c r="AD11" s="10">
        <v>0.10812684148550034</v>
      </c>
      <c r="AE11" s="10">
        <v>8.3442829549312592E-2</v>
      </c>
      <c r="AF11" s="10">
        <v>5.8915264904499054E-2</v>
      </c>
      <c r="AG11" s="10">
        <v>7.9912222921848297E-2</v>
      </c>
      <c r="AH11" s="10">
        <v>0.21827995777130127</v>
      </c>
      <c r="AI11" s="10">
        <v>0.37798264622688293</v>
      </c>
      <c r="AJ11" s="10">
        <v>0.36415302753448486</v>
      </c>
      <c r="AK11" s="10">
        <v>0.10758179426193237</v>
      </c>
      <c r="AL11" s="10">
        <v>0.11242900788784027</v>
      </c>
      <c r="AM11" s="10">
        <v>0.13331709802150726</v>
      </c>
    </row>
    <row r="12" spans="1:39" x14ac:dyDescent="0.3">
      <c r="A12">
        <v>2011</v>
      </c>
      <c r="C12" s="10">
        <v>0.64128154516220093</v>
      </c>
      <c r="D12" s="10">
        <v>4.4957688078284264E-3</v>
      </c>
      <c r="E12" s="11"/>
      <c r="F12" s="10">
        <v>11.050991058349609</v>
      </c>
      <c r="G12" s="10">
        <v>0.16223371028900146</v>
      </c>
      <c r="H12" s="10">
        <v>3.5999999046325684</v>
      </c>
      <c r="I12" s="10">
        <v>6.8995349109172821E-2</v>
      </c>
      <c r="J12" s="10">
        <v>6.6000003814697266</v>
      </c>
      <c r="K12" s="10">
        <v>0.14249849319458008</v>
      </c>
      <c r="L12" s="10">
        <v>13</v>
      </c>
      <c r="M12" s="10">
        <v>0.16537375748157501</v>
      </c>
      <c r="N12" s="10">
        <v>0.97327536344528198</v>
      </c>
      <c r="O12" s="10">
        <v>1.0164680890738964E-2</v>
      </c>
      <c r="P12" s="11"/>
      <c r="Q12" s="10">
        <v>0.24989204108715057</v>
      </c>
      <c r="R12" s="11"/>
      <c r="S12" s="10">
        <v>0.97835677862167358</v>
      </c>
      <c r="T12" s="11"/>
      <c r="U12" s="10">
        <v>276.3536376953125</v>
      </c>
      <c r="V12" s="16"/>
      <c r="W12" s="10">
        <v>0.21852140128612518</v>
      </c>
      <c r="X12" s="10">
        <v>7.2373539209365845E-2</v>
      </c>
      <c r="Y12" s="10">
        <v>0.72607004642486572</v>
      </c>
      <c r="Z12" s="10">
        <v>0.20075148344039917</v>
      </c>
      <c r="AA12" s="10">
        <v>2.5751341134309769E-2</v>
      </c>
      <c r="AB12" s="10">
        <v>11.152278900146484</v>
      </c>
      <c r="AC12" s="10">
        <v>4.3000001907348633</v>
      </c>
      <c r="AD12" s="10">
        <v>0.10789500176906586</v>
      </c>
      <c r="AE12" s="10">
        <v>7.4630811810493469E-2</v>
      </c>
      <c r="AF12" s="10">
        <v>7.6354928314685822E-2</v>
      </c>
      <c r="AG12" s="10">
        <v>7.3835894465446472E-2</v>
      </c>
      <c r="AH12" s="10">
        <v>0.2191191166639328</v>
      </c>
      <c r="AI12" s="10">
        <v>0.35277959704399109</v>
      </c>
      <c r="AJ12" s="10">
        <v>0.36578625440597534</v>
      </c>
      <c r="AK12" s="10">
        <v>0.16609145700931549</v>
      </c>
      <c r="AL12" s="10">
        <v>0.16453088819980621</v>
      </c>
      <c r="AM12" s="10">
        <v>0.18879503011703491</v>
      </c>
    </row>
    <row r="13" spans="1:39" x14ac:dyDescent="0.3">
      <c r="A13">
        <v>2012</v>
      </c>
      <c r="C13" s="10">
        <v>0.61461281776428223</v>
      </c>
      <c r="D13" s="10">
        <v>4.6071307733654976E-3</v>
      </c>
      <c r="E13" s="11"/>
      <c r="F13" s="10">
        <v>10.912781715393066</v>
      </c>
      <c r="G13" s="10">
        <v>0.16256885230541229</v>
      </c>
      <c r="H13" s="10">
        <v>3.4000000953674316</v>
      </c>
      <c r="I13" s="10">
        <v>7.5910307466983795E-2</v>
      </c>
      <c r="J13" s="10">
        <v>6.3000001907348633</v>
      </c>
      <c r="K13" s="10">
        <v>0.11604928225278854</v>
      </c>
      <c r="L13" s="10">
        <v>12.899999618530273</v>
      </c>
      <c r="M13" s="10">
        <v>0.2810419499874115</v>
      </c>
      <c r="N13" s="10">
        <v>1.0109292268753052</v>
      </c>
      <c r="O13" s="10">
        <v>9.3259597197175026E-3</v>
      </c>
      <c r="P13" s="11"/>
      <c r="Q13" s="10">
        <v>0.25000002980232239</v>
      </c>
      <c r="R13" s="11"/>
      <c r="S13" s="10">
        <v>0.98266798257827759</v>
      </c>
      <c r="T13" s="11"/>
      <c r="U13" s="10">
        <v>277.35174560546875</v>
      </c>
      <c r="V13" s="16"/>
      <c r="W13" s="10">
        <v>0.21356485784053802</v>
      </c>
      <c r="X13" s="10">
        <v>8.9492432773113251E-2</v>
      </c>
      <c r="Y13" s="10">
        <v>0.72113388776779175</v>
      </c>
      <c r="Z13" s="10">
        <v>0.21186590194702148</v>
      </c>
      <c r="AA13" s="10">
        <v>3.6378875374794006E-2</v>
      </c>
      <c r="AB13" s="10">
        <v>12.118832588195801</v>
      </c>
      <c r="AC13" s="10">
        <v>4.9000000953674316</v>
      </c>
      <c r="AD13" s="10">
        <v>0.13208062946796417</v>
      </c>
      <c r="AE13" s="10">
        <v>9.4290591776371002E-2</v>
      </c>
      <c r="AF13" s="10">
        <v>8.528687059879303E-2</v>
      </c>
      <c r="AG13" s="10">
        <v>0.10481524467468262</v>
      </c>
      <c r="AH13" s="10">
        <v>0.24426080286502838</v>
      </c>
      <c r="AI13" s="10">
        <v>0.38421893119812012</v>
      </c>
      <c r="AJ13" s="10">
        <v>0.41307389736175537</v>
      </c>
      <c r="AK13" s="10">
        <v>0.19760701060295105</v>
      </c>
      <c r="AL13" s="10">
        <v>0.19140587747097015</v>
      </c>
      <c r="AM13" s="10">
        <v>0.21714673936367035</v>
      </c>
    </row>
    <row r="14" spans="1:39" x14ac:dyDescent="0.3">
      <c r="A14">
        <v>2013</v>
      </c>
      <c r="C14" s="10">
        <v>0.57994973659515381</v>
      </c>
      <c r="D14" s="10">
        <v>4.7864615917205811E-3</v>
      </c>
      <c r="E14" s="11"/>
      <c r="F14" s="10">
        <v>11.264002799987793</v>
      </c>
      <c r="G14" s="10">
        <v>0.1773066520690918</v>
      </c>
      <c r="H14" s="10">
        <v>3.2999999523162842</v>
      </c>
      <c r="I14" s="10">
        <v>8.8447630405426025E-2</v>
      </c>
      <c r="J14" s="10">
        <v>6.5</v>
      </c>
      <c r="K14" s="10">
        <v>0.1375286728143692</v>
      </c>
      <c r="L14" s="10">
        <v>13.300000190734863</v>
      </c>
      <c r="M14" s="10">
        <v>0.29776057600975037</v>
      </c>
      <c r="N14" s="10">
        <v>1.0476305484771729</v>
      </c>
      <c r="O14" s="10">
        <v>1.2544256635010242E-2</v>
      </c>
      <c r="P14" s="11"/>
      <c r="Q14" s="10">
        <v>0.25808379054069519</v>
      </c>
      <c r="R14" s="11"/>
      <c r="S14" s="10">
        <v>0.98425155878067017</v>
      </c>
      <c r="T14" s="11"/>
      <c r="U14" s="10">
        <v>275.11569213867188</v>
      </c>
      <c r="V14" s="16"/>
      <c r="W14" s="10">
        <v>0.19869978725910187</v>
      </c>
      <c r="X14" s="10">
        <v>8.8014669716358185E-2</v>
      </c>
      <c r="Y14" s="10">
        <v>0.72995501756668091</v>
      </c>
      <c r="Z14" s="10">
        <v>0.20756492018699646</v>
      </c>
      <c r="AA14" s="10">
        <v>3.4643422812223434E-2</v>
      </c>
      <c r="AB14" s="10">
        <v>13.075671195983887</v>
      </c>
      <c r="AC14" s="10">
        <v>5</v>
      </c>
      <c r="AD14" s="10">
        <v>0.13234725594520569</v>
      </c>
      <c r="AE14" s="10">
        <v>9.6700355410575867E-2</v>
      </c>
      <c r="AF14" s="10">
        <v>6.6028617322444916E-2</v>
      </c>
      <c r="AG14" s="10">
        <v>9.5702894032001495E-2</v>
      </c>
      <c r="AH14" s="10">
        <v>0.3028016984462738</v>
      </c>
      <c r="AI14" s="10">
        <v>0.38447362184524536</v>
      </c>
      <c r="AJ14" s="10">
        <v>0.40785130858421326</v>
      </c>
      <c r="AK14" s="10">
        <v>0.1680423766374588</v>
      </c>
      <c r="AL14" s="10">
        <v>0.16706734895706177</v>
      </c>
      <c r="AM14" s="10">
        <v>0.19021125137805939</v>
      </c>
    </row>
    <row r="21" spans="28:28" x14ac:dyDescent="0.3">
      <c r="AB21">
        <f>AB5/F5</f>
        <v>0.913499310647368</v>
      </c>
    </row>
  </sheetData>
  <mergeCells count="5">
    <mergeCell ref="AI1:AM1"/>
    <mergeCell ref="F1:O1"/>
    <mergeCell ref="AD1:AH1"/>
    <mergeCell ref="W1:AA1"/>
    <mergeCell ref="AB1:AC1"/>
  </mergeCells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1:F17"/>
  <sheetViews>
    <sheetView workbookViewId="0">
      <selection activeCell="N30" sqref="N30"/>
    </sheetView>
  </sheetViews>
  <sheetFormatPr defaultColWidth="8.77734375" defaultRowHeight="14.4" x14ac:dyDescent="0.3"/>
  <sheetData>
    <row r="1" spans="3:6" x14ac:dyDescent="0.3">
      <c r="C1" s="22" t="s">
        <v>44</v>
      </c>
      <c r="D1" s="22"/>
      <c r="E1" s="22"/>
      <c r="F1" s="22"/>
    </row>
    <row r="2" spans="3:6" x14ac:dyDescent="0.3">
      <c r="C2" s="23" t="s">
        <v>45</v>
      </c>
      <c r="D2" s="23"/>
      <c r="E2" s="22" t="s">
        <v>46</v>
      </c>
      <c r="F2" s="22"/>
    </row>
    <row r="3" spans="3:6" x14ac:dyDescent="0.3">
      <c r="C3" s="4" t="s">
        <v>47</v>
      </c>
      <c r="D3" s="4" t="s">
        <v>48</v>
      </c>
      <c r="E3" s="4" t="s">
        <v>47</v>
      </c>
      <c r="F3" s="4" t="s">
        <v>48</v>
      </c>
    </row>
    <row r="4" spans="3:6" x14ac:dyDescent="0.3">
      <c r="C4" s="13">
        <v>0.38028913736343384</v>
      </c>
      <c r="D4" s="13">
        <v>2.7506828308105469E-2</v>
      </c>
      <c r="E4" s="13">
        <v>0.37635090947151184</v>
      </c>
      <c r="F4" s="13">
        <v>2.5424322113394737E-2</v>
      </c>
    </row>
    <row r="5" spans="3:6" x14ac:dyDescent="0.3">
      <c r="C5" s="10">
        <v>0.37413445115089417</v>
      </c>
      <c r="D5" s="10">
        <v>2.5273261591792107E-2</v>
      </c>
      <c r="E5" s="10">
        <v>0.31756064295768738</v>
      </c>
      <c r="F5" s="10">
        <v>2.6042727753520012E-2</v>
      </c>
    </row>
    <row r="6" spans="3:6" x14ac:dyDescent="0.3">
      <c r="C6" s="10">
        <v>0.29384914040565491</v>
      </c>
      <c r="D6" s="10">
        <v>2.901025116443634E-2</v>
      </c>
      <c r="E6" s="10">
        <v>0.29348081350326538</v>
      </c>
      <c r="F6" s="10">
        <v>2.9357245191931725E-2</v>
      </c>
    </row>
    <row r="7" spans="3:6" x14ac:dyDescent="0.3">
      <c r="C7" s="10">
        <v>0.26973271369934082</v>
      </c>
      <c r="D7" s="10">
        <v>2.9750609770417213E-2</v>
      </c>
      <c r="E7" s="10">
        <v>0.29600068926811218</v>
      </c>
      <c r="F7" s="10">
        <v>3.126264363527298E-2</v>
      </c>
    </row>
    <row r="8" spans="3:6" x14ac:dyDescent="0.3">
      <c r="C8" s="10">
        <v>0.33394905924797058</v>
      </c>
      <c r="D8" s="10">
        <v>2.8769250959157944E-2</v>
      </c>
      <c r="E8" s="10">
        <v>0.33913031220436096</v>
      </c>
      <c r="F8" s="10">
        <v>2.9826296493411064E-2</v>
      </c>
    </row>
    <row r="9" spans="3:6" x14ac:dyDescent="0.3">
      <c r="C9" s="10">
        <v>0.39398959279060364</v>
      </c>
      <c r="D9" s="10">
        <v>2.8698468580842018E-2</v>
      </c>
      <c r="E9" s="10">
        <v>0.2903289794921875</v>
      </c>
      <c r="F9" s="10">
        <v>3.5092815756797791E-2</v>
      </c>
    </row>
    <row r="10" spans="3:6" x14ac:dyDescent="0.3">
      <c r="C10" s="10">
        <v>0.27900984883308411</v>
      </c>
      <c r="D10" s="10">
        <v>2.8518391773104668E-2</v>
      </c>
      <c r="E10" s="10">
        <v>0.26881620287895203</v>
      </c>
      <c r="F10" s="10">
        <v>3.6992397159337997E-2</v>
      </c>
    </row>
    <row r="11" spans="3:6" x14ac:dyDescent="0.3">
      <c r="C11" s="10">
        <v>0.23572474718093872</v>
      </c>
      <c r="D11" s="10">
        <v>3.3009752631187439E-2</v>
      </c>
      <c r="E11" s="10">
        <v>0.190449059009552</v>
      </c>
      <c r="F11" s="10">
        <v>4.0314968675374985E-2</v>
      </c>
    </row>
    <row r="12" spans="3:6" x14ac:dyDescent="0.3">
      <c r="C12" s="10">
        <v>0.29164916276931763</v>
      </c>
      <c r="D12" s="10">
        <v>3.5305451601743698E-2</v>
      </c>
      <c r="E12" s="10">
        <v>0.28392127156257629</v>
      </c>
      <c r="F12" s="10">
        <v>3.5043168812990189E-2</v>
      </c>
    </row>
    <row r="13" spans="3:6" x14ac:dyDescent="0.3">
      <c r="C13" s="10">
        <v>0.22947916388511658</v>
      </c>
      <c r="D13" s="10">
        <v>4.0705349296331406E-2</v>
      </c>
      <c r="E13" s="10">
        <v>0.24299496412277222</v>
      </c>
      <c r="F13" s="10">
        <v>3.8272276520729065E-2</v>
      </c>
    </row>
    <row r="14" spans="3:6" x14ac:dyDescent="0.3">
      <c r="C14" s="3"/>
      <c r="D14" s="3"/>
      <c r="E14" s="3"/>
      <c r="F14" s="3"/>
    </row>
    <row r="15" spans="3:6" x14ac:dyDescent="0.3">
      <c r="C15" s="3"/>
      <c r="D15" s="3"/>
      <c r="E15" s="3"/>
      <c r="F15" s="3"/>
    </row>
    <row r="16" spans="3:6" x14ac:dyDescent="0.3">
      <c r="C16" s="3"/>
      <c r="D16" s="3"/>
      <c r="E16" s="3"/>
      <c r="F16" s="3"/>
    </row>
    <row r="17" spans="3:6" x14ac:dyDescent="0.3">
      <c r="C17" s="3"/>
      <c r="D17" s="3"/>
      <c r="E17" s="3"/>
      <c r="F17" s="3"/>
    </row>
  </sheetData>
  <mergeCells count="3">
    <mergeCell ref="C1:F1"/>
    <mergeCell ref="E2:F2"/>
    <mergeCell ref="C2:D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Employment Share</vt:lpstr>
      <vt:lpstr>Old Share by Employment</vt:lpstr>
      <vt:lpstr>Employment Old</vt:lpstr>
      <vt:lpstr>Employment Young</vt:lpstr>
      <vt:lpstr>Income Moments</vt:lpstr>
      <vt:lpstr>Income Moments YO</vt:lpstr>
      <vt:lpstr>Agr Moments Raw</vt:lpstr>
      <vt:lpstr>Agr Moments Permanent</vt:lpstr>
      <vt:lpstr>Agr Moments Other</vt:lpstr>
      <vt:lpstr>Part-time 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Chaoran Chen</cp:lastModifiedBy>
  <dcterms:modified xsi:type="dcterms:W3CDTF">2024-03-04T20:32:49Z</dcterms:modified>
</cp:coreProperties>
</file>