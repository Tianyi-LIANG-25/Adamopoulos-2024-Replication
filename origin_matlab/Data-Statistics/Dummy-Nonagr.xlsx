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328"/>
  <workbookPr defaultThemeVersion="166925"/>
  <mc:AlternateContent xmlns:mc="http://schemas.openxmlformats.org/markup-compatibility/2006">
    <mc:Choice Requires="x15">
      <x15ac:absPath xmlns:x15ac="http://schemas.microsoft.com/office/spreadsheetml/2010/11/ac" url="C:\Dropbox\Distortions and Productivity in China\Replication-Files\Data-Statistics\"/>
    </mc:Choice>
  </mc:AlternateContent>
  <xr:revisionPtr revIDLastSave="0" documentId="13_ncr:1_{6AD5433A-0DFB-46DF-8912-AA512D621CE2}" xr6:coauthVersionLast="47" xr6:coauthVersionMax="47" xr10:uidLastSave="{00000000-0000-0000-0000-000000000000}"/>
  <bookViews>
    <workbookView xWindow="-108" yWindow="-108" windowWidth="30936" windowHeight="16776" xr2:uid="{C77294AB-73DC-405B-8B9A-AB63D0819325}"/>
  </bookViews>
  <sheets>
    <sheet name="regression results" sheetId="1" r:id="rId1"/>
    <sheet name="variables" sheetId="3" r:id="rId2"/>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H40" i="1" l="1"/>
  <c r="G40" i="1"/>
  <c r="F40" i="1"/>
  <c r="E40" i="1"/>
  <c r="D40" i="1"/>
  <c r="C40" i="1"/>
  <c r="B40" i="1"/>
  <c r="L42" i="1"/>
  <c r="K42" i="1"/>
  <c r="J42" i="1"/>
  <c r="L41" i="1"/>
  <c r="K41" i="1"/>
  <c r="J41" i="1"/>
  <c r="L37" i="1"/>
  <c r="K37" i="1"/>
  <c r="J37" i="1"/>
  <c r="L36" i="1"/>
  <c r="K36" i="1"/>
  <c r="J36" i="1"/>
  <c r="L35" i="1"/>
  <c r="K35" i="1"/>
  <c r="J35" i="1"/>
  <c r="L34" i="1"/>
  <c r="K34" i="1"/>
  <c r="J34" i="1"/>
  <c r="L33" i="1"/>
  <c r="K33" i="1"/>
  <c r="J33" i="1"/>
  <c r="L32" i="1"/>
  <c r="K32" i="1"/>
  <c r="J32" i="1"/>
  <c r="L31" i="1"/>
  <c r="K31" i="1"/>
  <c r="J31" i="1"/>
  <c r="L30" i="1"/>
  <c r="K30" i="1"/>
  <c r="J30" i="1"/>
  <c r="L29" i="1"/>
  <c r="K29" i="1"/>
  <c r="J29" i="1"/>
  <c r="L28" i="1"/>
  <c r="K28" i="1"/>
  <c r="J28" i="1"/>
  <c r="L27" i="1"/>
  <c r="K27" i="1"/>
  <c r="J27" i="1"/>
  <c r="L26" i="1"/>
  <c r="K26" i="1"/>
  <c r="J26" i="1"/>
  <c r="L25" i="1"/>
  <c r="K25" i="1"/>
  <c r="J25" i="1"/>
  <c r="L24" i="1"/>
  <c r="K24" i="1"/>
  <c r="J24" i="1"/>
  <c r="L23" i="1"/>
  <c r="K23" i="1"/>
  <c r="J23" i="1"/>
  <c r="L22" i="1"/>
  <c r="K22" i="1"/>
  <c r="J22" i="1"/>
  <c r="L21" i="1"/>
  <c r="K21" i="1"/>
  <c r="J21" i="1"/>
  <c r="L20" i="1"/>
  <c r="K20" i="1"/>
  <c r="J20" i="1"/>
  <c r="L7" i="1"/>
  <c r="K7" i="1"/>
  <c r="J7" i="1"/>
  <c r="L6" i="1"/>
  <c r="K6" i="1"/>
  <c r="J6" i="1"/>
  <c r="H42" i="1"/>
  <c r="H41" i="1"/>
  <c r="H39" i="1"/>
  <c r="H38" i="1"/>
  <c r="H15" i="1"/>
  <c r="H14" i="1"/>
  <c r="H19" i="1"/>
  <c r="H18" i="1"/>
  <c r="H37" i="1"/>
  <c r="H36" i="1"/>
  <c r="H35" i="1"/>
  <c r="H34" i="1"/>
  <c r="H33" i="1"/>
  <c r="H32" i="1"/>
  <c r="H31" i="1"/>
  <c r="H30" i="1"/>
  <c r="H29" i="1"/>
  <c r="H28" i="1"/>
  <c r="H27" i="1"/>
  <c r="H26" i="1"/>
  <c r="H25" i="1"/>
  <c r="H24" i="1"/>
  <c r="H23" i="1"/>
  <c r="H22" i="1"/>
  <c r="H21" i="1"/>
  <c r="H20" i="1"/>
  <c r="G42" i="1"/>
  <c r="G41" i="1"/>
  <c r="G39" i="1"/>
  <c r="G38" i="1"/>
  <c r="G13" i="1"/>
  <c r="G12" i="1"/>
  <c r="G19" i="1"/>
  <c r="G18" i="1"/>
  <c r="G37" i="1"/>
  <c r="G36" i="1"/>
  <c r="G35" i="1"/>
  <c r="G34" i="1"/>
  <c r="G33" i="1"/>
  <c r="G32" i="1"/>
  <c r="G31" i="1"/>
  <c r="G30" i="1"/>
  <c r="G29" i="1"/>
  <c r="G28" i="1"/>
  <c r="G27" i="1"/>
  <c r="G26" i="1"/>
  <c r="G25" i="1"/>
  <c r="G24" i="1"/>
  <c r="G23" i="1"/>
  <c r="G22" i="1"/>
  <c r="G21" i="1"/>
  <c r="G20" i="1"/>
  <c r="F42" i="1"/>
  <c r="F41" i="1"/>
  <c r="F39" i="1"/>
  <c r="F38" i="1"/>
  <c r="F11" i="1"/>
  <c r="F10" i="1"/>
  <c r="F19" i="1"/>
  <c r="F18" i="1"/>
  <c r="F37" i="1"/>
  <c r="F36" i="1"/>
  <c r="F35" i="1"/>
  <c r="F34" i="1"/>
  <c r="F33" i="1"/>
  <c r="F32" i="1"/>
  <c r="F31" i="1"/>
  <c r="F30" i="1"/>
  <c r="F29" i="1"/>
  <c r="F28" i="1"/>
  <c r="F27" i="1"/>
  <c r="F26" i="1"/>
  <c r="F25" i="1"/>
  <c r="F24" i="1"/>
  <c r="F23" i="1"/>
  <c r="F22" i="1"/>
  <c r="F21" i="1"/>
  <c r="F20" i="1"/>
  <c r="E42" i="1"/>
  <c r="E41" i="1"/>
  <c r="E39" i="1"/>
  <c r="E38" i="1"/>
  <c r="E37" i="1"/>
  <c r="E36" i="1"/>
  <c r="E35" i="1"/>
  <c r="E34" i="1"/>
  <c r="E33" i="1"/>
  <c r="E32" i="1"/>
  <c r="E31" i="1"/>
  <c r="E30" i="1"/>
  <c r="E29" i="1"/>
  <c r="E28" i="1"/>
  <c r="E27" i="1"/>
  <c r="E26" i="1"/>
  <c r="E25" i="1"/>
  <c r="E24" i="1"/>
  <c r="E23" i="1"/>
  <c r="E22" i="1"/>
  <c r="E21" i="1"/>
  <c r="E20" i="1"/>
  <c r="E19" i="1"/>
  <c r="E18" i="1"/>
  <c r="E9" i="1"/>
  <c r="E8" i="1"/>
  <c r="D42" i="1"/>
  <c r="C42" i="1"/>
  <c r="B42" i="1"/>
  <c r="D41" i="1"/>
  <c r="C41" i="1"/>
  <c r="B41" i="1"/>
  <c r="D39" i="1"/>
  <c r="C39" i="1"/>
  <c r="B39" i="1"/>
  <c r="D38" i="1"/>
  <c r="C38" i="1"/>
  <c r="B38" i="1"/>
  <c r="D19" i="1"/>
  <c r="C19" i="1"/>
  <c r="D18" i="1"/>
  <c r="C18" i="1"/>
  <c r="D17" i="1"/>
  <c r="C17" i="1"/>
  <c r="D16" i="1"/>
  <c r="C16" i="1"/>
  <c r="D37" i="1"/>
  <c r="C37" i="1"/>
  <c r="B37" i="1"/>
  <c r="D36" i="1"/>
  <c r="C36" i="1"/>
  <c r="B36" i="1"/>
  <c r="D35" i="1"/>
  <c r="C35" i="1"/>
  <c r="B35" i="1"/>
  <c r="D34" i="1"/>
  <c r="C34" i="1"/>
  <c r="B34" i="1"/>
  <c r="D33" i="1"/>
  <c r="C33" i="1"/>
  <c r="B33" i="1"/>
  <c r="D32" i="1"/>
  <c r="C32" i="1"/>
  <c r="B32" i="1"/>
  <c r="D31" i="1"/>
  <c r="C31" i="1"/>
  <c r="B31" i="1"/>
  <c r="D30" i="1"/>
  <c r="C30" i="1"/>
  <c r="B30" i="1"/>
  <c r="D29" i="1"/>
  <c r="C29" i="1"/>
  <c r="B29" i="1"/>
  <c r="D28" i="1"/>
  <c r="C28" i="1"/>
  <c r="B28" i="1"/>
  <c r="D27" i="1"/>
  <c r="C27" i="1"/>
  <c r="B27" i="1"/>
  <c r="D26" i="1"/>
  <c r="C26" i="1"/>
  <c r="B26" i="1"/>
  <c r="D25" i="1"/>
  <c r="C25" i="1"/>
  <c r="B25" i="1"/>
  <c r="D24" i="1"/>
  <c r="C24" i="1"/>
  <c r="B24" i="1"/>
  <c r="D23" i="1"/>
  <c r="C23" i="1"/>
  <c r="B23" i="1"/>
  <c r="D22" i="1"/>
  <c r="C22" i="1"/>
  <c r="B22" i="1"/>
  <c r="D21" i="1"/>
  <c r="C21" i="1"/>
  <c r="B21" i="1"/>
  <c r="D20" i="1"/>
  <c r="C20" i="1"/>
  <c r="B20" i="1"/>
  <c r="D7" i="1"/>
  <c r="C7" i="1"/>
  <c r="B7" i="1"/>
  <c r="D6" i="1"/>
  <c r="C6" i="1"/>
  <c r="B6" i="1"/>
  <c r="A44" i="1" l="1"/>
  <c r="A9" i="3" l="1"/>
  <c r="A7" i="3"/>
  <c r="A6" i="3"/>
  <c r="L15" i="1"/>
  <c r="K15" i="1"/>
  <c r="L14" i="1"/>
  <c r="K14" i="1"/>
  <c r="L13" i="1"/>
  <c r="K13" i="1"/>
  <c r="L12" i="1"/>
  <c r="K12" i="1"/>
  <c r="L11" i="1"/>
  <c r="K11" i="1"/>
  <c r="L10" i="1"/>
  <c r="K10" i="1"/>
  <c r="L9" i="1"/>
  <c r="K9" i="1"/>
  <c r="L8" i="1"/>
  <c r="K8" i="1"/>
  <c r="L19" i="1"/>
  <c r="K19" i="1"/>
  <c r="L18" i="1"/>
  <c r="K18" i="1"/>
  <c r="L17" i="1"/>
  <c r="K17" i="1"/>
  <c r="L16" i="1"/>
  <c r="K16" i="1"/>
  <c r="H13" i="1"/>
  <c r="H12" i="1"/>
  <c r="H11" i="1"/>
  <c r="H10" i="1"/>
  <c r="H9" i="1"/>
  <c r="H8" i="1"/>
  <c r="H17" i="1"/>
  <c r="H16" i="1"/>
  <c r="F15" i="1"/>
  <c r="F14" i="1"/>
  <c r="F13" i="1"/>
  <c r="F12" i="1"/>
  <c r="F9" i="1"/>
  <c r="F8" i="1"/>
  <c r="F17" i="1"/>
  <c r="F16" i="1"/>
  <c r="E15" i="1"/>
  <c r="E14" i="1"/>
  <c r="E13" i="1"/>
  <c r="E12" i="1"/>
  <c r="E11" i="1"/>
  <c r="E10" i="1"/>
  <c r="E17" i="1"/>
  <c r="E16" i="1"/>
  <c r="D15" i="1"/>
  <c r="C15" i="1"/>
  <c r="B15" i="1"/>
  <c r="D14" i="1"/>
  <c r="C14" i="1"/>
  <c r="B14" i="1"/>
  <c r="D13" i="1"/>
  <c r="C13" i="1"/>
  <c r="B13" i="1"/>
  <c r="D12" i="1"/>
  <c r="C12" i="1"/>
  <c r="B12" i="1"/>
  <c r="D11" i="1"/>
  <c r="C11" i="1"/>
  <c r="B11" i="1"/>
  <c r="D10" i="1"/>
  <c r="C10" i="1"/>
  <c r="B10" i="1"/>
  <c r="D9" i="1"/>
  <c r="C9" i="1"/>
  <c r="B9" i="1"/>
  <c r="D8" i="1"/>
  <c r="C8" i="1"/>
  <c r="B8" i="1"/>
  <c r="B19" i="1"/>
  <c r="B18" i="1"/>
  <c r="B17" i="1"/>
  <c r="B16" i="1"/>
  <c r="A41" i="1"/>
  <c r="A39" i="1"/>
  <c r="A38" i="1"/>
  <c r="A15" i="1"/>
  <c r="A14" i="1"/>
  <c r="A13" i="1"/>
  <c r="A12" i="1"/>
  <c r="A11" i="1"/>
  <c r="A10" i="1"/>
  <c r="A9" i="1"/>
  <c r="A8" i="1"/>
  <c r="A19" i="1"/>
  <c r="A18" i="1"/>
  <c r="A17" i="1"/>
  <c r="A16" i="1"/>
  <c r="A37" i="1"/>
  <c r="A36" i="1"/>
  <c r="A35" i="1"/>
  <c r="A34" i="1"/>
  <c r="A33" i="1"/>
  <c r="A32" i="1"/>
  <c r="A31" i="1"/>
  <c r="A30" i="1"/>
  <c r="A29" i="1"/>
  <c r="A28" i="1"/>
  <c r="A27" i="1"/>
  <c r="A26" i="1"/>
  <c r="A25" i="1"/>
  <c r="A24" i="1"/>
  <c r="A23" i="1"/>
  <c r="A22" i="1"/>
  <c r="A21" i="1"/>
  <c r="A20" i="1"/>
  <c r="A7" i="1"/>
  <c r="A6" i="1"/>
</calcChain>
</file>

<file path=xl/sharedStrings.xml><?xml version="1.0" encoding="utf-8"?>
<sst xmlns="http://schemas.openxmlformats.org/spreadsheetml/2006/main" count="32" uniqueCount="31">
  <si>
    <t>Y: dummy_nonagr</t>
    <phoneticPr fontId="1" type="noConversion"/>
  </si>
  <si>
    <t>obs_hh: # of family members working in agr or nonagr</t>
    <phoneticPr fontId="1" type="noConversion"/>
  </si>
  <si>
    <t>share of old and children (&lt;12 years old) in the family</t>
    <phoneticPr fontId="1" type="noConversion"/>
  </si>
  <si>
    <t>dependent variable</t>
    <phoneticPr fontId="1" type="noConversion"/>
  </si>
  <si>
    <t>Probit</t>
    <phoneticPr fontId="1" type="noConversion"/>
  </si>
  <si>
    <t># of sibling in the family</t>
    <phoneticPr fontId="1" type="noConversion"/>
  </si>
  <si>
    <t>average marginal effect</t>
    <phoneticPr fontId="1" type="noConversion"/>
  </si>
  <si>
    <t>R square or Pseudo R square</t>
    <phoneticPr fontId="1" type="noConversion"/>
  </si>
  <si>
    <t>Dependent variables</t>
    <phoneticPr fontId="1" type="noConversion"/>
  </si>
  <si>
    <t>obs_hh</t>
    <phoneticPr fontId="1" type="noConversion"/>
  </si>
  <si>
    <t xml:space="preserve"># of members reported working days </t>
    <phoneticPr fontId="1" type="noConversion"/>
  </si>
  <si>
    <t>labor_num</t>
    <phoneticPr fontId="1" type="noConversion"/>
  </si>
  <si>
    <t># of members with age 16~65, out of school, and eligible for working</t>
    <phoneticPr fontId="1" type="noConversion"/>
  </si>
  <si>
    <t>( these two variables evaluate the burden of the household, which can push labors out of agriculture to earn money or drag labors remain in agriculture since they have to take care of old members or children.</t>
    <phoneticPr fontId="1" type="noConversion"/>
  </si>
  <si>
    <t>(# of old with age &gt; 65 + # of children with age &lt; 18 and in school)/household size</t>
    <phoneticPr fontId="1" type="noConversion"/>
  </si>
  <si>
    <t># of siblings in the family, which can be various for each household members</t>
    <phoneticPr fontId="1" type="noConversion"/>
  </si>
  <si>
    <t>land</t>
    <phoneticPr fontId="1" type="noConversion"/>
  </si>
  <si>
    <t>cultivated land in the household</t>
    <phoneticPr fontId="1" type="noConversion"/>
  </si>
  <si>
    <t>land_capita</t>
    <phoneticPr fontId="1" type="noConversion"/>
  </si>
  <si>
    <t>cultivated land / household size</t>
    <phoneticPr fontId="1" type="noConversion"/>
  </si>
  <si>
    <t>for household head and spouse of the head, their siblings are reported directly</t>
    <phoneticPr fontId="1" type="noConversion"/>
  </si>
  <si>
    <t>for children and grandchildren of household head, their siblings are individuals reported in the same generations. (this method cannot identify the object's spouse though)</t>
    <phoneticPr fontId="1" type="noConversion"/>
  </si>
  <si>
    <t>Control variables</t>
    <phoneticPr fontId="1" type="noConversion"/>
  </si>
  <si>
    <t>! Land variable is highly collinear with household size or number of labors in the household</t>
    <phoneticPr fontId="1" type="noConversion"/>
  </si>
  <si>
    <t>OLS</t>
    <phoneticPr fontId="1" type="noConversion"/>
  </si>
  <si>
    <t>="* p&lt;0.10</t>
  </si>
  <si>
    <t>all regressions control year and village fixed effects, the standard errors are clustered at province level</t>
    <phoneticPr fontId="1" type="noConversion"/>
  </si>
  <si>
    <t># of labors: age 16~65, not student, eligible for work</t>
  </si>
  <si>
    <t>share of old and children (&lt;18 years old and in school)</t>
  </si>
  <si>
    <t>sample：2004-2018</t>
    <phoneticPr fontId="1" type="noConversion"/>
  </si>
  <si>
    <t>(# of old with age &gt; 65 + # of children with age &lt; 12)/household size</t>
    <phoneticPr fontId="1"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</si>
</sst>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font>
      <sz val="11"/>
      <color theme="1"/>
      <name val="Calibri"/>
      <family val="2"/>
      <charset val="134"/>
      <scheme val="minor"/>
    </font>
    <font>
      <sz val="9"/>
      <name val="Calibri"/>
      <family val="2"/>
      <charset val="134"/>
      <scheme val="minor"/>
    </font>
  </fonts>
  <fills count="2">
    <fill>
      <patternFill patternType="none"/>
    </fill>
    <fill>
      <patternFill patternType="gray125"/>
    </fill>
  </fills>
  <borders count="1">
    <border>
      <left/>
      <right/>
      <top/>
      <bottom/>
      <diagonal/>
    </border>
  </borders>
  <cellStyleXfs count="1">
    <xf numFmtId="0" fontId="0" fillId="0" borderId="0">
      <alignment vertical="center"/>
    </xf>
  </cellStyleXfs>
  <cellXfs count="4">
    <xf numFmtId="0" fontId="0" fillId="0" borderId="0" xfId="0">
      <alignment vertical="center"/>
    </xf>
    <xf numFmtId="0" fontId="0" fillId="0" borderId="0" xfId="0" applyAlignment="1">
      <alignment horizontal="center" vertical="center" wrapText="1"/>
    </xf>
    <xf numFmtId="0" fontId="0" fillId="0" borderId="0" xfId="0" applyAlignment="1">
      <alignment horizontal="center" vertical="center"/>
    </xf>
    <xf numFmtId="0" fontId="0" fillId="0" borderId="0" xfId="0"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B213D5-2898-4C0A-A4C4-9F50DE9C9871}">
  <dimension ref="A1:N47"/>
  <sheetViews>
    <sheetView tabSelected="1" workbookViewId="0">
      <selection activeCell="G6" sqref="G6"/>
    </sheetView>
  </sheetViews>
  <sheetFormatPr defaultRowHeight="14.4"/>
  <cols>
    <col min="1" max="1" width="18.6640625" customWidth="1"/>
  </cols>
  <sheetData>
    <row r="1" spans="1:14">
      <c r="A1" t="s">
        <v>0</v>
      </c>
    </row>
    <row r="2" spans="1:14">
      <c r="A2" t="s">
        <v>29</v>
      </c>
    </row>
    <row r="3" spans="1:14">
      <c r="B3" s="3" t="s">
        <v>4</v>
      </c>
      <c r="C3" s="3"/>
      <c r="D3" s="3"/>
      <c r="E3" s="3"/>
      <c r="F3" s="3"/>
      <c r="G3" s="1"/>
      <c r="H3" s="1"/>
      <c r="I3" s="1"/>
      <c r="J3" s="2" t="s">
        <v>24</v>
      </c>
      <c r="K3" s="2"/>
      <c r="L3" s="2"/>
    </row>
    <row r="4" spans="1:14" ht="25.5" customHeight="1">
      <c r="A4" t="s">
        <v>3</v>
      </c>
      <c r="B4" s="3" t="s">
        <v>1</v>
      </c>
      <c r="C4" s="3"/>
      <c r="D4" s="3"/>
      <c r="E4" s="1" t="s">
        <v>27</v>
      </c>
      <c r="F4" s="1" t="s">
        <v>2</v>
      </c>
      <c r="G4" s="1" t="s">
        <v>28</v>
      </c>
      <c r="H4" s="1" t="s">
        <v>5</v>
      </c>
      <c r="I4" s="1"/>
      <c r="J4" s="3" t="s">
        <v>1</v>
      </c>
      <c r="K4" s="3"/>
      <c r="L4" s="3"/>
      <c r="N4" s="1"/>
    </row>
    <row r="6" spans="1:14">
      <c r="A6" t="str">
        <f>"obs_hh"</f>
        <v>obs_hh</v>
      </c>
      <c r="B6" t="str">
        <f>"0.002"</f>
        <v>0.002</v>
      </c>
      <c r="C6" t="str">
        <f>"0.069***"</f>
        <v>0.069***</v>
      </c>
      <c r="D6" t="str">
        <f>"0.020***"</f>
        <v>0.020***</v>
      </c>
      <c r="J6" t="str">
        <f>"0.000"</f>
        <v>0.000</v>
      </c>
      <c r="K6" t="str">
        <f>"0.020***"</f>
        <v>0.020***</v>
      </c>
      <c r="L6" t="str">
        <f>"0.005***"</f>
        <v>0.005***</v>
      </c>
    </row>
    <row r="7" spans="1:14">
      <c r="A7" t="str">
        <f>""</f>
        <v/>
      </c>
      <c r="B7" t="str">
        <f>"(0.006)"</f>
        <v>(0.006)</v>
      </c>
      <c r="C7" t="str">
        <f>"(0.006)"</f>
        <v>(0.006)</v>
      </c>
      <c r="D7" t="str">
        <f>"(0.006)"</f>
        <v>(0.006)</v>
      </c>
      <c r="J7" t="str">
        <f>"(0.002)"</f>
        <v>(0.002)</v>
      </c>
      <c r="K7" t="str">
        <f>"(0.002)"</f>
        <v>(0.002)</v>
      </c>
      <c r="L7" t="str">
        <f>"(0.002)"</f>
        <v>(0.002)</v>
      </c>
    </row>
    <row r="8" spans="1:14">
      <c r="A8" t="str">
        <f>"labor_num"</f>
        <v>labor_num</v>
      </c>
      <c r="B8" t="str">
        <f>""</f>
        <v/>
      </c>
      <c r="C8" t="str">
        <f>""</f>
        <v/>
      </c>
      <c r="D8" t="str">
        <f>""</f>
        <v/>
      </c>
      <c r="E8" t="str">
        <f>"0.028***"</f>
        <v>0.028***</v>
      </c>
      <c r="F8" t="str">
        <f>""</f>
        <v/>
      </c>
      <c r="H8" t="str">
        <f>""</f>
        <v/>
      </c>
      <c r="K8" t="str">
        <f>""</f>
        <v/>
      </c>
      <c r="L8" t="str">
        <f>""</f>
        <v/>
      </c>
    </row>
    <row r="9" spans="1:14">
      <c r="A9" t="str">
        <f>""</f>
        <v/>
      </c>
      <c r="B9" t="str">
        <f>""</f>
        <v/>
      </c>
      <c r="C9" t="str">
        <f>""</f>
        <v/>
      </c>
      <c r="D9" t="str">
        <f>""</f>
        <v/>
      </c>
      <c r="E9" t="str">
        <f>"(0.005)"</f>
        <v>(0.005)</v>
      </c>
      <c r="F9" t="str">
        <f>""</f>
        <v/>
      </c>
      <c r="H9" t="str">
        <f>""</f>
        <v/>
      </c>
      <c r="K9" t="str">
        <f>""</f>
        <v/>
      </c>
      <c r="L9" t="str">
        <f>""</f>
        <v/>
      </c>
    </row>
    <row r="10" spans="1:14">
      <c r="A10" t="str">
        <f>"old_child12_share"</f>
        <v>old_child12_share</v>
      </c>
      <c r="B10" t="str">
        <f>""</f>
        <v/>
      </c>
      <c r="C10" t="str">
        <f>""</f>
        <v/>
      </c>
      <c r="D10" t="str">
        <f>""</f>
        <v/>
      </c>
      <c r="E10" t="str">
        <f>""</f>
        <v/>
      </c>
      <c r="F10" t="str">
        <f>"-0.603***"</f>
        <v>-0.603***</v>
      </c>
      <c r="H10" t="str">
        <f>""</f>
        <v/>
      </c>
      <c r="K10" t="str">
        <f>""</f>
        <v/>
      </c>
      <c r="L10" t="str">
        <f>""</f>
        <v/>
      </c>
    </row>
    <row r="11" spans="1:14">
      <c r="A11" t="str">
        <f>""</f>
        <v/>
      </c>
      <c r="B11" t="str">
        <f>""</f>
        <v/>
      </c>
      <c r="C11" t="str">
        <f>""</f>
        <v/>
      </c>
      <c r="D11" t="str">
        <f>""</f>
        <v/>
      </c>
      <c r="E11" t="str">
        <f>""</f>
        <v/>
      </c>
      <c r="F11" t="str">
        <f>"(0.029)"</f>
        <v>(0.029)</v>
      </c>
      <c r="H11" t="str">
        <f>""</f>
        <v/>
      </c>
      <c r="K11" t="str">
        <f>""</f>
        <v/>
      </c>
      <c r="L11" t="str">
        <f>""</f>
        <v/>
      </c>
    </row>
    <row r="12" spans="1:14">
      <c r="A12" t="str">
        <f>"old_child_share"</f>
        <v>old_child_share</v>
      </c>
      <c r="B12" t="str">
        <f>""</f>
        <v/>
      </c>
      <c r="C12" t="str">
        <f>""</f>
        <v/>
      </c>
      <c r="D12" t="str">
        <f>""</f>
        <v/>
      </c>
      <c r="E12" t="str">
        <f>""</f>
        <v/>
      </c>
      <c r="F12" t="str">
        <f>""</f>
        <v/>
      </c>
      <c r="G12" t="str">
        <f>"-0.301***"</f>
        <v>-0.301***</v>
      </c>
      <c r="H12" t="str">
        <f>""</f>
        <v/>
      </c>
      <c r="K12" t="str">
        <f>""</f>
        <v/>
      </c>
      <c r="L12" t="str">
        <f>""</f>
        <v/>
      </c>
    </row>
    <row r="13" spans="1:14">
      <c r="A13" t="str">
        <f>""</f>
        <v/>
      </c>
      <c r="B13" t="str">
        <f>""</f>
        <v/>
      </c>
      <c r="C13" t="str">
        <f>""</f>
        <v/>
      </c>
      <c r="D13" t="str">
        <f>""</f>
        <v/>
      </c>
      <c r="E13" t="str">
        <f>""</f>
        <v/>
      </c>
      <c r="F13" t="str">
        <f>""</f>
        <v/>
      </c>
      <c r="G13" t="str">
        <f>"(0.028)"</f>
        <v>(0.028)</v>
      </c>
      <c r="H13" t="str">
        <f>""</f>
        <v/>
      </c>
      <c r="K13" t="str">
        <f>""</f>
        <v/>
      </c>
      <c r="L13" t="str">
        <f>""</f>
        <v/>
      </c>
    </row>
    <row r="14" spans="1:14">
      <c r="A14" t="str">
        <f>"sibling_num"</f>
        <v>sibling_num</v>
      </c>
      <c r="B14" t="str">
        <f>""</f>
        <v/>
      </c>
      <c r="C14" t="str">
        <f>""</f>
        <v/>
      </c>
      <c r="D14" t="str">
        <f>""</f>
        <v/>
      </c>
      <c r="E14" t="str">
        <f>""</f>
        <v/>
      </c>
      <c r="F14" t="str">
        <f>""</f>
        <v/>
      </c>
      <c r="H14" t="str">
        <f>"0.138***"</f>
        <v>0.138***</v>
      </c>
      <c r="K14" t="str">
        <f>""</f>
        <v/>
      </c>
      <c r="L14" t="str">
        <f>""</f>
        <v/>
      </c>
    </row>
    <row r="15" spans="1:14">
      <c r="A15" t="str">
        <f>""</f>
        <v/>
      </c>
      <c r="B15" t="str">
        <f>""</f>
        <v/>
      </c>
      <c r="C15" t="str">
        <f>""</f>
        <v/>
      </c>
      <c r="D15" t="str">
        <f>""</f>
        <v/>
      </c>
      <c r="E15" t="str">
        <f>""</f>
        <v/>
      </c>
      <c r="F15" t="str">
        <f>""</f>
        <v/>
      </c>
      <c r="H15" t="str">
        <f>"(0.017)"</f>
        <v>(0.017)</v>
      </c>
      <c r="K15" t="str">
        <f>""</f>
        <v/>
      </c>
      <c r="L15" t="str">
        <f>""</f>
        <v/>
      </c>
    </row>
    <row r="16" spans="1:14">
      <c r="A16" t="str">
        <f>"logland"</f>
        <v>logland</v>
      </c>
      <c r="B16" t="str">
        <f>""</f>
        <v/>
      </c>
      <c r="C16" t="str">
        <f>"-0.269***"</f>
        <v>-0.269***</v>
      </c>
      <c r="D16" t="str">
        <f>""</f>
        <v/>
      </c>
      <c r="E16" t="str">
        <f>""</f>
        <v/>
      </c>
      <c r="F16" t="str">
        <f>""</f>
        <v/>
      </c>
      <c r="H16" t="str">
        <f>""</f>
        <v/>
      </c>
      <c r="K16" t="str">
        <f>"-0.080***"</f>
        <v>-0.080***</v>
      </c>
      <c r="L16" t="str">
        <f>""</f>
        <v/>
      </c>
    </row>
    <row r="17" spans="1:12">
      <c r="A17" t="str">
        <f>""</f>
        <v/>
      </c>
      <c r="B17" t="str">
        <f>""</f>
        <v/>
      </c>
      <c r="C17" t="str">
        <f>"(0.013)"</f>
        <v>(0.013)</v>
      </c>
      <c r="D17" t="str">
        <f>""</f>
        <v/>
      </c>
      <c r="E17" t="str">
        <f>""</f>
        <v/>
      </c>
      <c r="F17" t="str">
        <f>""</f>
        <v/>
      </c>
      <c r="H17" t="str">
        <f>""</f>
        <v/>
      </c>
      <c r="K17" t="str">
        <f>"(0.004)"</f>
        <v>(0.004)</v>
      </c>
      <c r="L17" t="str">
        <f>""</f>
        <v/>
      </c>
    </row>
    <row r="18" spans="1:12">
      <c r="A18" t="str">
        <f>"logland_capita"</f>
        <v>logland_capita</v>
      </c>
      <c r="B18" t="str">
        <f>""</f>
        <v/>
      </c>
      <c r="C18" t="str">
        <f>""</f>
        <v/>
      </c>
      <c r="D18" t="str">
        <f>"-0.246***"</f>
        <v>-0.246***</v>
      </c>
      <c r="E18" t="str">
        <f>"-0.242***"</f>
        <v>-0.242***</v>
      </c>
      <c r="F18" t="str">
        <f>"-0.278***"</f>
        <v>-0.278***</v>
      </c>
      <c r="G18" t="str">
        <f>"-0.258***"</f>
        <v>-0.258***</v>
      </c>
      <c r="H18" t="str">
        <f>"-0.243***"</f>
        <v>-0.243***</v>
      </c>
      <c r="K18" t="str">
        <f>""</f>
        <v/>
      </c>
      <c r="L18" t="str">
        <f>"-0.074***"</f>
        <v>-0.074***</v>
      </c>
    </row>
    <row r="19" spans="1:12">
      <c r="A19" t="str">
        <f>""</f>
        <v/>
      </c>
      <c r="B19" t="str">
        <f>""</f>
        <v/>
      </c>
      <c r="C19" t="str">
        <f>""</f>
        <v/>
      </c>
      <c r="D19" t="str">
        <f>"(0.012)"</f>
        <v>(0.012)</v>
      </c>
      <c r="E19" t="str">
        <f>"(0.012)"</f>
        <v>(0.012)</v>
      </c>
      <c r="F19" t="str">
        <f>"(0.013)"</f>
        <v>(0.013)</v>
      </c>
      <c r="G19" t="str">
        <f>"(0.012)"</f>
        <v>(0.012)</v>
      </c>
      <c r="H19" t="str">
        <f>"(0.012)"</f>
        <v>(0.012)</v>
      </c>
      <c r="K19" t="str">
        <f>""</f>
        <v/>
      </c>
      <c r="L19" t="str">
        <f t="shared" ref="L19" si="0">"(0.004)"</f>
        <v>(0.004)</v>
      </c>
    </row>
    <row r="20" spans="1:12">
      <c r="A20" t="str">
        <f>"0.gender"</f>
        <v>0.gender</v>
      </c>
      <c r="B20" t="str">
        <f>"0.000"</f>
        <v>0.000</v>
      </c>
      <c r="C20" t="str">
        <f>"0.000"</f>
        <v>0.000</v>
      </c>
      <c r="D20" t="str">
        <f>"0.000"</f>
        <v>0.000</v>
      </c>
      <c r="E20" t="str">
        <f t="shared" ref="E20:H20" si="1">"0.000"</f>
        <v>0.000</v>
      </c>
      <c r="F20" t="str">
        <f t="shared" si="1"/>
        <v>0.000</v>
      </c>
      <c r="G20" t="str">
        <f t="shared" si="1"/>
        <v>0.000</v>
      </c>
      <c r="H20" t="str">
        <f t="shared" si="1"/>
        <v>0.000</v>
      </c>
      <c r="J20" t="str">
        <f>""</f>
        <v/>
      </c>
      <c r="K20" t="str">
        <f>""</f>
        <v/>
      </c>
      <c r="L20" t="str">
        <f>""</f>
        <v/>
      </c>
    </row>
    <row r="21" spans="1:12">
      <c r="A21" t="str">
        <f>""</f>
        <v/>
      </c>
      <c r="B21" t="str">
        <f>"(.)"</f>
        <v>(.)</v>
      </c>
      <c r="C21" t="str">
        <f>"(.)"</f>
        <v>(.)</v>
      </c>
      <c r="D21" t="str">
        <f>"(.)"</f>
        <v>(.)</v>
      </c>
      <c r="E21" t="str">
        <f t="shared" ref="E21:H21" si="2">"(.)"</f>
        <v>(.)</v>
      </c>
      <c r="F21" t="str">
        <f t="shared" si="2"/>
        <v>(.)</v>
      </c>
      <c r="G21" t="str">
        <f t="shared" si="2"/>
        <v>(.)</v>
      </c>
      <c r="H21" t="str">
        <f t="shared" si="2"/>
        <v>(.)</v>
      </c>
      <c r="J21" t="str">
        <f>""</f>
        <v/>
      </c>
      <c r="K21" t="str">
        <f>""</f>
        <v/>
      </c>
      <c r="L21" t="str">
        <f>""</f>
        <v/>
      </c>
    </row>
    <row r="22" spans="1:12">
      <c r="A22" t="str">
        <f>"1.gender"</f>
        <v>1.gender</v>
      </c>
      <c r="B22" t="str">
        <f>"0.395***"</f>
        <v>0.395***</v>
      </c>
      <c r="C22" t="str">
        <f>"0.437***"</f>
        <v>0.437***</v>
      </c>
      <c r="D22" t="str">
        <f>"0.438***"</f>
        <v>0.438***</v>
      </c>
      <c r="E22" t="str">
        <f>"0.437***"</f>
        <v>0.437***</v>
      </c>
      <c r="F22" t="str">
        <f>"0.434***"</f>
        <v>0.434***</v>
      </c>
      <c r="G22" t="str">
        <f>"0.435***"</f>
        <v>0.435***</v>
      </c>
      <c r="H22" t="str">
        <f>"0.441***"</f>
        <v>0.441***</v>
      </c>
      <c r="J22" t="str">
        <f>"0.115***"</f>
        <v>0.115***</v>
      </c>
      <c r="K22" t="str">
        <f>"0.128***"</f>
        <v>0.128***</v>
      </c>
      <c r="L22" t="str">
        <f>"0.129***"</f>
        <v>0.129***</v>
      </c>
    </row>
    <row r="23" spans="1:12">
      <c r="A23" t="str">
        <f>""</f>
        <v/>
      </c>
      <c r="B23" t="str">
        <f>"(0.047)"</f>
        <v>(0.047)</v>
      </c>
      <c r="C23" t="str">
        <f>"(0.050)"</f>
        <v>(0.050)</v>
      </c>
      <c r="D23" t="str">
        <f>"(0.050)"</f>
        <v>(0.050)</v>
      </c>
      <c r="E23" t="str">
        <f t="shared" ref="E23:H23" si="3">"(0.050)"</f>
        <v>(0.050)</v>
      </c>
      <c r="F23" t="str">
        <f t="shared" si="3"/>
        <v>(0.050)</v>
      </c>
      <c r="G23" t="str">
        <f t="shared" si="3"/>
        <v>(0.050)</v>
      </c>
      <c r="H23" t="str">
        <f t="shared" si="3"/>
        <v>(0.050)</v>
      </c>
      <c r="J23" t="str">
        <f>"(0.013)"</f>
        <v>(0.013)</v>
      </c>
      <c r="K23" t="str">
        <f>"(0.014)"</f>
        <v>(0.014)</v>
      </c>
      <c r="L23" t="str">
        <f>"(0.014)"</f>
        <v>(0.014)</v>
      </c>
    </row>
    <row r="24" spans="1:12">
      <c r="A24" t="str">
        <f>"1.bin_edu"</f>
        <v>1.bin_edu</v>
      </c>
      <c r="B24" t="str">
        <f>"0.000"</f>
        <v>0.000</v>
      </c>
      <c r="C24" t="str">
        <f>"0.000"</f>
        <v>0.000</v>
      </c>
      <c r="D24" t="str">
        <f>"0.000"</f>
        <v>0.000</v>
      </c>
      <c r="E24" t="str">
        <f t="shared" ref="E24:H24" si="4">"0.000"</f>
        <v>0.000</v>
      </c>
      <c r="F24" t="str">
        <f t="shared" si="4"/>
        <v>0.000</v>
      </c>
      <c r="G24" t="str">
        <f t="shared" si="4"/>
        <v>0.000</v>
      </c>
      <c r="H24" t="str">
        <f t="shared" si="4"/>
        <v>0.000</v>
      </c>
      <c r="J24" t="str">
        <f>""</f>
        <v/>
      </c>
      <c r="K24" t="str">
        <f>""</f>
        <v/>
      </c>
      <c r="L24" t="str">
        <f>""</f>
        <v/>
      </c>
    </row>
    <row r="25" spans="1:12">
      <c r="A25" t="str">
        <f>""</f>
        <v/>
      </c>
      <c r="B25" t="str">
        <f>"(.)"</f>
        <v>(.)</v>
      </c>
      <c r="C25" t="str">
        <f>"(.)"</f>
        <v>(.)</v>
      </c>
      <c r="D25" t="str">
        <f>"(.)"</f>
        <v>(.)</v>
      </c>
      <c r="E25" t="str">
        <f t="shared" ref="E25:H25" si="5">"(.)"</f>
        <v>(.)</v>
      </c>
      <c r="F25" t="str">
        <f t="shared" si="5"/>
        <v>(.)</v>
      </c>
      <c r="G25" t="str">
        <f t="shared" si="5"/>
        <v>(.)</v>
      </c>
      <c r="H25" t="str">
        <f t="shared" si="5"/>
        <v>(.)</v>
      </c>
      <c r="J25" t="str">
        <f>""</f>
        <v/>
      </c>
      <c r="K25" t="str">
        <f>""</f>
        <v/>
      </c>
      <c r="L25" t="str">
        <f>""</f>
        <v/>
      </c>
    </row>
    <row r="26" spans="1:12">
      <c r="A26" t="str">
        <f>"2.bin_edu"</f>
        <v>2.bin_edu</v>
      </c>
      <c r="B26" t="str">
        <f>"0.136***"</f>
        <v>0.136***</v>
      </c>
      <c r="C26" t="str">
        <f>"0.119***"</f>
        <v>0.119***</v>
      </c>
      <c r="D26" t="str">
        <f>"0.113***"</f>
        <v>0.113***</v>
      </c>
      <c r="E26" t="str">
        <f>"0.112***"</f>
        <v>0.112***</v>
      </c>
      <c r="F26" t="str">
        <f>"0.113***"</f>
        <v>0.113***</v>
      </c>
      <c r="G26" t="str">
        <f>"0.114***"</f>
        <v>0.114***</v>
      </c>
      <c r="H26" t="str">
        <f>"0.106***"</f>
        <v>0.106***</v>
      </c>
      <c r="J26" t="str">
        <f>"0.048***"</f>
        <v>0.048***</v>
      </c>
      <c r="K26" t="str">
        <f>"0.041***"</f>
        <v>0.041***</v>
      </c>
      <c r="L26" t="str">
        <f>"0.040***"</f>
        <v>0.040***</v>
      </c>
    </row>
    <row r="27" spans="1:12">
      <c r="A27" t="str">
        <f>""</f>
        <v/>
      </c>
      <c r="B27" t="str">
        <f>"(0.016)"</f>
        <v>(0.016)</v>
      </c>
      <c r="C27" t="str">
        <f>"(0.017)"</f>
        <v>(0.017)</v>
      </c>
      <c r="D27" t="str">
        <f>"(0.017)"</f>
        <v>(0.017)</v>
      </c>
      <c r="E27" t="str">
        <f t="shared" ref="E27:H27" si="6">"(0.017)"</f>
        <v>(0.017)</v>
      </c>
      <c r="F27" t="str">
        <f t="shared" si="6"/>
        <v>(0.017)</v>
      </c>
      <c r="G27" t="str">
        <f t="shared" si="6"/>
        <v>(0.017)</v>
      </c>
      <c r="H27" t="str">
        <f t="shared" si="6"/>
        <v>(0.017)</v>
      </c>
      <c r="J27" t="str">
        <f>"(0.006)"</f>
        <v>(0.006)</v>
      </c>
      <c r="K27" t="str">
        <f>"(0.006)"</f>
        <v>(0.006)</v>
      </c>
      <c r="L27" t="str">
        <f>"(0.006)"</f>
        <v>(0.006)</v>
      </c>
    </row>
    <row r="28" spans="1:12">
      <c r="A28" t="str">
        <f>"3.bin_edu"</f>
        <v>3.bin_edu</v>
      </c>
      <c r="B28" t="str">
        <f>"0.286***"</f>
        <v>0.286***</v>
      </c>
      <c r="C28" t="str">
        <f>"0.274***"</f>
        <v>0.274***</v>
      </c>
      <c r="D28" t="str">
        <f>"0.271***"</f>
        <v>0.271***</v>
      </c>
      <c r="E28" t="str">
        <f>"0.270***"</f>
        <v>0.270***</v>
      </c>
      <c r="F28" t="str">
        <f>"0.262***"</f>
        <v>0.262***</v>
      </c>
      <c r="G28" t="str">
        <f>"0.268***"</f>
        <v>0.268***</v>
      </c>
      <c r="H28" t="str">
        <f>"0.265***"</f>
        <v>0.265***</v>
      </c>
      <c r="J28" t="str">
        <f>"0.070***"</f>
        <v>0.070***</v>
      </c>
      <c r="K28" t="str">
        <f>"0.075***"</f>
        <v>0.075***</v>
      </c>
      <c r="L28" t="str">
        <f>"0.074***"</f>
        <v>0.074***</v>
      </c>
    </row>
    <row r="29" spans="1:12">
      <c r="A29" t="str">
        <f>""</f>
        <v/>
      </c>
      <c r="B29" t="str">
        <f>"(0.017)"</f>
        <v>(0.017)</v>
      </c>
      <c r="C29" t="str">
        <f>"(0.020)"</f>
        <v>(0.020)</v>
      </c>
      <c r="D29" t="str">
        <f>"(0.020)"</f>
        <v>(0.020)</v>
      </c>
      <c r="E29" t="str">
        <f>"(0.020)"</f>
        <v>(0.020)</v>
      </c>
      <c r="F29" t="str">
        <f>"(0.021)"</f>
        <v>(0.021)</v>
      </c>
      <c r="G29" t="str">
        <f>"(0.021)"</f>
        <v>(0.021)</v>
      </c>
      <c r="H29" t="str">
        <f>"(0.020)"</f>
        <v>(0.020)</v>
      </c>
      <c r="J29" t="str">
        <f>"(0.006)"</f>
        <v>(0.006)</v>
      </c>
      <c r="K29" t="str">
        <f>"(0.006)"</f>
        <v>(0.006)</v>
      </c>
      <c r="L29" t="str">
        <f>"(0.006)"</f>
        <v>(0.006)</v>
      </c>
    </row>
    <row r="30" spans="1:12">
      <c r="A30" t="str">
        <f>"4.bin_edu"</f>
        <v>4.bin_edu</v>
      </c>
      <c r="B30" t="str">
        <f>"0.240***"</f>
        <v>0.240***</v>
      </c>
      <c r="C30" t="str">
        <f>"0.252***"</f>
        <v>0.252***</v>
      </c>
      <c r="D30" t="str">
        <f>"0.258***"</f>
        <v>0.258***</v>
      </c>
      <c r="E30" t="str">
        <f>"0.257***"</f>
        <v>0.257***</v>
      </c>
      <c r="F30" t="str">
        <f>"0.244***"</f>
        <v>0.244***</v>
      </c>
      <c r="G30" t="str">
        <f>"0.251***"</f>
        <v>0.251***</v>
      </c>
      <c r="H30" t="str">
        <f>"0.269***"</f>
        <v>0.269***</v>
      </c>
      <c r="J30" t="str">
        <f>"0.041***"</f>
        <v>0.041***</v>
      </c>
      <c r="K30" t="str">
        <f>"0.061***"</f>
        <v>0.061***</v>
      </c>
      <c r="L30" t="str">
        <f>"0.064***"</f>
        <v>0.064***</v>
      </c>
    </row>
    <row r="31" spans="1:12">
      <c r="A31" t="str">
        <f>""</f>
        <v/>
      </c>
      <c r="B31" t="str">
        <f>"(0.030)"</f>
        <v>(0.030)</v>
      </c>
      <c r="C31" t="str">
        <f t="shared" ref="C31:H31" si="7">"(0.034)"</f>
        <v>(0.034)</v>
      </c>
      <c r="D31" t="str">
        <f t="shared" si="7"/>
        <v>(0.034)</v>
      </c>
      <c r="E31" t="str">
        <f t="shared" si="7"/>
        <v>(0.034)</v>
      </c>
      <c r="F31" t="str">
        <f t="shared" si="7"/>
        <v>(0.034)</v>
      </c>
      <c r="G31" t="str">
        <f t="shared" si="7"/>
        <v>(0.034)</v>
      </c>
      <c r="H31" t="str">
        <f t="shared" si="7"/>
        <v>(0.034)</v>
      </c>
      <c r="J31" t="str">
        <f>"(0.008)"</f>
        <v>(0.008)</v>
      </c>
      <c r="K31" t="str">
        <f>"(0.008)"</f>
        <v>(0.008)</v>
      </c>
      <c r="L31" t="str">
        <f>"(0.008)"</f>
        <v>(0.008)</v>
      </c>
    </row>
    <row r="32" spans="1:12">
      <c r="A32" t="str">
        <f>"logage"</f>
        <v>logage</v>
      </c>
      <c r="B32" t="str">
        <f>"1.662***"</f>
        <v>1.662***</v>
      </c>
      <c r="C32" t="str">
        <f>"2.412***"</f>
        <v>2.412***</v>
      </c>
      <c r="D32" t="str">
        <f>"1.879***"</f>
        <v>1.879***</v>
      </c>
      <c r="E32" t="str">
        <f>"1.909***"</f>
        <v>1.909***</v>
      </c>
      <c r="F32" t="str">
        <f>"3.825***"</f>
        <v>3.825***</v>
      </c>
      <c r="G32" t="str">
        <f>"2.343***"</f>
        <v>2.343***</v>
      </c>
      <c r="H32" t="str">
        <f>"0.731"</f>
        <v>0.731</v>
      </c>
      <c r="J32" t="str">
        <f>"0.546***"</f>
        <v>0.546***</v>
      </c>
      <c r="K32" t="str">
        <f>"0.964***"</f>
        <v>0.964***</v>
      </c>
      <c r="L32" t="str">
        <f>"0.825***"</f>
        <v>0.825***</v>
      </c>
    </row>
    <row r="33" spans="1:12">
      <c r="A33" t="str">
        <f>""</f>
        <v/>
      </c>
      <c r="B33" t="str">
        <f>"(0.579)"</f>
        <v>(0.579)</v>
      </c>
      <c r="C33" t="str">
        <f>"(0.656)"</f>
        <v>(0.656)</v>
      </c>
      <c r="D33" t="str">
        <f>"(0.659)"</f>
        <v>(0.659)</v>
      </c>
      <c r="E33" t="str">
        <f>"(0.654)"</f>
        <v>(0.654)</v>
      </c>
      <c r="F33" t="str">
        <f>"(0.647)"</f>
        <v>(0.647)</v>
      </c>
      <c r="G33" t="str">
        <f>"(0.623)"</f>
        <v>(0.623)</v>
      </c>
      <c r="H33" t="str">
        <f>"(0.628)"</f>
        <v>(0.628)</v>
      </c>
      <c r="J33" t="str">
        <f>"(0.144)"</f>
        <v>(0.144)</v>
      </c>
      <c r="K33" t="str">
        <f>"(0.186)"</f>
        <v>(0.186)</v>
      </c>
      <c r="L33" t="str">
        <f>"(0.189)"</f>
        <v>(0.189)</v>
      </c>
    </row>
    <row r="34" spans="1:12">
      <c r="A34" t="str">
        <f>"age"</f>
        <v>age</v>
      </c>
      <c r="B34" t="str">
        <f>"-0.144***"</f>
        <v>-0.144***</v>
      </c>
      <c r="C34" t="str">
        <f>"-0.188***"</f>
        <v>-0.188***</v>
      </c>
      <c r="D34" t="str">
        <f>"-0.167***"</f>
        <v>-0.167***</v>
      </c>
      <c r="E34" t="str">
        <f>"-0.167***"</f>
        <v>-0.167***</v>
      </c>
      <c r="F34" t="str">
        <f>"-0.269***"</f>
        <v>-0.269***</v>
      </c>
      <c r="G34" t="str">
        <f>"-0.187***"</f>
        <v>-0.187***</v>
      </c>
      <c r="H34" t="str">
        <f>"-0.093***"</f>
        <v>-0.093***</v>
      </c>
      <c r="J34" t="str">
        <f>"-0.042***"</f>
        <v>-0.042***</v>
      </c>
      <c r="K34" t="str">
        <f>"-0.068***"</f>
        <v>-0.068***</v>
      </c>
      <c r="L34" t="str">
        <f>"-0.063***"</f>
        <v>-0.063***</v>
      </c>
    </row>
    <row r="35" spans="1:12">
      <c r="A35" t="str">
        <f>""</f>
        <v/>
      </c>
      <c r="B35" t="str">
        <f>"(0.030)"</f>
        <v>(0.030)</v>
      </c>
      <c r="C35" t="str">
        <f>"(0.034)"</f>
        <v>(0.034)</v>
      </c>
      <c r="D35" t="str">
        <f>"(0.034)"</f>
        <v>(0.034)</v>
      </c>
      <c r="E35" t="str">
        <f>"(0.034)"</f>
        <v>(0.034)</v>
      </c>
      <c r="F35" t="str">
        <f>"(0.034)"</f>
        <v>(0.034)</v>
      </c>
      <c r="G35" t="str">
        <f>"(0.033)"</f>
        <v>(0.033)</v>
      </c>
      <c r="H35" t="str">
        <f>"(0.032)"</f>
        <v>(0.032)</v>
      </c>
      <c r="J35" t="str">
        <f>"(0.008)"</f>
        <v>(0.008)</v>
      </c>
      <c r="K35" t="str">
        <f>"(0.010)"</f>
        <v>(0.010)</v>
      </c>
      <c r="L35" t="str">
        <f>"(0.010)"</f>
        <v>(0.010)</v>
      </c>
    </row>
    <row r="36" spans="1:12">
      <c r="A36" t="str">
        <f>"age2"</f>
        <v>age2</v>
      </c>
      <c r="B36" t="str">
        <f t="shared" ref="B36:G36" si="8">"0.001***"</f>
        <v>0.001***</v>
      </c>
      <c r="C36" t="str">
        <f t="shared" si="8"/>
        <v>0.001***</v>
      </c>
      <c r="D36" t="str">
        <f t="shared" si="8"/>
        <v>0.001***</v>
      </c>
      <c r="E36" t="str">
        <f t="shared" si="8"/>
        <v>0.001***</v>
      </c>
      <c r="F36" t="str">
        <f t="shared" si="8"/>
        <v>0.001***</v>
      </c>
      <c r="G36" t="str">
        <f t="shared" si="8"/>
        <v>0.001***</v>
      </c>
      <c r="H36" t="str">
        <f>"0.000*"</f>
        <v>0.000*</v>
      </c>
      <c r="J36" t="str">
        <f>"0.000***"</f>
        <v>0.000***</v>
      </c>
      <c r="K36" t="str">
        <f>"0.000***"</f>
        <v>0.000***</v>
      </c>
      <c r="L36" t="str">
        <f>"0.000***"</f>
        <v>0.000***</v>
      </c>
    </row>
    <row r="37" spans="1:12">
      <c r="A37" t="str">
        <f>""</f>
        <v/>
      </c>
      <c r="B37" t="str">
        <f t="shared" ref="B37:H37" si="9">"(0.000)"</f>
        <v>(0.000)</v>
      </c>
      <c r="C37" t="str">
        <f t="shared" si="9"/>
        <v>(0.000)</v>
      </c>
      <c r="D37" t="str">
        <f t="shared" si="9"/>
        <v>(0.000)</v>
      </c>
      <c r="E37" t="str">
        <f t="shared" si="9"/>
        <v>(0.000)</v>
      </c>
      <c r="F37" t="str">
        <f t="shared" si="9"/>
        <v>(0.000)</v>
      </c>
      <c r="G37" t="str">
        <f t="shared" si="9"/>
        <v>(0.000)</v>
      </c>
      <c r="H37" t="str">
        <f t="shared" si="9"/>
        <v>(0.000)</v>
      </c>
      <c r="J37" t="str">
        <f t="shared" ref="J37:L37" si="10">"(0.000)"</f>
        <v>(0.000)</v>
      </c>
      <c r="K37" t="str">
        <f t="shared" si="10"/>
        <v>(0.000)</v>
      </c>
      <c r="L37" t="str">
        <f t="shared" si="10"/>
        <v>(0.000)</v>
      </c>
    </row>
    <row r="38" spans="1:12">
      <c r="A38" t="str">
        <f>"_cons"</f>
        <v>_cons</v>
      </c>
      <c r="B38" t="str">
        <f>"-1.454"</f>
        <v>-1.454</v>
      </c>
      <c r="C38" t="str">
        <f>"-2.639*"</f>
        <v>-2.639*</v>
      </c>
      <c r="D38" t="str">
        <f>"-1.595"</f>
        <v>-1.595</v>
      </c>
      <c r="E38" t="str">
        <f>"-1.695"</f>
        <v>-1.695</v>
      </c>
      <c r="F38" t="str">
        <f>"-5.545***"</f>
        <v>-5.545***</v>
      </c>
      <c r="G38" t="str">
        <f>"-2.540**"</f>
        <v>-2.540**</v>
      </c>
      <c r="H38" t="str">
        <f>"0.480"</f>
        <v>0.480</v>
      </c>
    </row>
    <row r="39" spans="1:12">
      <c r="A39" t="str">
        <f>""</f>
        <v/>
      </c>
      <c r="B39" t="str">
        <f>"(1.212)"</f>
        <v>(1.212)</v>
      </c>
      <c r="C39" t="str">
        <f>"(1.364)"</f>
        <v>(1.364)</v>
      </c>
      <c r="D39" t="str">
        <f>"(1.375)"</f>
        <v>(1.375)</v>
      </c>
      <c r="E39" t="str">
        <f>"(1.360)"</f>
        <v>(1.360)</v>
      </c>
      <c r="F39" t="str">
        <f>"(1.330)"</f>
        <v>(1.330)</v>
      </c>
      <c r="G39" t="str">
        <f>"(1.279)"</f>
        <v>(1.279)</v>
      </c>
      <c r="H39" t="str">
        <f>"(1.311)"</f>
        <v>(1.311)</v>
      </c>
    </row>
    <row r="40" spans="1:12">
      <c r="A40" t="s">
        <v>6</v>
      </c>
      <c r="B40" t="str">
        <f>"0.001"</f>
        <v>0.001</v>
      </c>
      <c r="C40" t="str">
        <f>"0.019***"</f>
        <v>0.019***</v>
      </c>
      <c r="D40" t="str">
        <f>"0.006***"</f>
        <v>0.006***</v>
      </c>
      <c r="E40" t="str">
        <f>"0.008***"</f>
        <v>0.008***</v>
      </c>
      <c r="F40" t="str">
        <f>"-0.170***"</f>
        <v>-0.170***</v>
      </c>
      <c r="G40" t="str">
        <f>"-0.085***"</f>
        <v>-0.085***</v>
      </c>
      <c r="H40" t="str">
        <f>"0.039***"</f>
        <v>0.039***</v>
      </c>
    </row>
    <row r="41" spans="1:12">
      <c r="A41" t="str">
        <f>"N"</f>
        <v>N</v>
      </c>
      <c r="B41" t="str">
        <f>"674086.000"</f>
        <v>674086.000</v>
      </c>
      <c r="C41" t="str">
        <f>"559877.000"</f>
        <v>559877.000</v>
      </c>
      <c r="D41" t="str">
        <f>"559877.000"</f>
        <v>559877.000</v>
      </c>
      <c r="E41" t="str">
        <f>"559877.000"</f>
        <v>559877.000</v>
      </c>
      <c r="F41" t="str">
        <f>"559877.000"</f>
        <v>559877.000</v>
      </c>
      <c r="G41" t="str">
        <f>"559877.000"</f>
        <v>559877.000</v>
      </c>
      <c r="H41" t="str">
        <f>"551348.000"</f>
        <v>551348.000</v>
      </c>
      <c r="J41" t="str">
        <f>"674378.000"</f>
        <v>674378.000</v>
      </c>
      <c r="K41" t="str">
        <f>"560174.000"</f>
        <v>560174.000</v>
      </c>
      <c r="L41" t="str">
        <f>"560174.000"</f>
        <v>560174.000</v>
      </c>
    </row>
    <row r="42" spans="1:12">
      <c r="A42" t="s">
        <v>7</v>
      </c>
      <c r="B42" t="str">
        <f>"0.279"</f>
        <v>0.279</v>
      </c>
      <c r="C42" t="str">
        <f>"0.279"</f>
        <v>0.279</v>
      </c>
      <c r="D42" t="str">
        <f>"0.278"</f>
        <v>0.278</v>
      </c>
      <c r="E42" t="str">
        <f>"0.279"</f>
        <v>0.279</v>
      </c>
      <c r="F42" t="str">
        <f>"0.281"</f>
        <v>0.281</v>
      </c>
      <c r="G42" t="str">
        <f>"0.279"</f>
        <v>0.279</v>
      </c>
      <c r="H42" t="str">
        <f>"0.282"</f>
        <v>0.282</v>
      </c>
      <c r="J42" t="str">
        <f>"0.320"</f>
        <v>0.320</v>
      </c>
      <c r="K42" t="str">
        <f>"0.328"</f>
        <v>0.328</v>
      </c>
      <c r="L42" t="str">
        <f>"0.327"</f>
        <v>0.327</v>
      </c>
    </row>
    <row r="44" spans="1:12">
      <c r="A44" t="str">
        <f>"Standard errors in parentheses"</f>
        <v>Standard errors in parentheses</v>
      </c>
    </row>
    <row r="45" spans="1:12">
      <c r="A45" t="s">
        <v>25</v>
      </c>
    </row>
    <row r="47" spans="1:12">
      <c r="A47" t="s">
        <v>26</v>
      </c>
    </row>
  </sheetData>
  <mergeCells count="4">
    <mergeCell ref="J3:L3"/>
    <mergeCell ref="B4:D4"/>
    <mergeCell ref="B3:F3"/>
    <mergeCell ref="J4:L4"/>
  </mergeCells>
  <phoneticPr fontId="1" type="noConversion"/>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2B2CAF-D10F-4B2F-A067-E90B7C23ABF7}">
  <dimension ref="A2:B18"/>
  <sheetViews>
    <sheetView workbookViewId="0">
      <selection activeCell="B7" sqref="B7"/>
    </sheetView>
  </sheetViews>
  <sheetFormatPr defaultRowHeight="14.4"/>
  <cols>
    <col min="1" max="1" width="20.44140625" customWidth="1"/>
  </cols>
  <sheetData>
    <row r="2" spans="1:2">
      <c r="A2" t="s">
        <v>8</v>
      </c>
    </row>
    <row r="4" spans="1:2">
      <c r="A4" t="s">
        <v>9</v>
      </c>
      <c r="B4" t="s">
        <v>10</v>
      </c>
    </row>
    <row r="5" spans="1:2">
      <c r="A5" t="s">
        <v>11</v>
      </c>
      <c r="B5" t="s">
        <v>12</v>
      </c>
    </row>
    <row r="6" spans="1:2">
      <c r="A6" t="str">
        <f>"old_child12_share"</f>
        <v>old_child12_share</v>
      </c>
      <c r="B6" t="s">
        <v>30</v>
      </c>
    </row>
    <row r="7" spans="1:2">
      <c r="A7" t="str">
        <f>"old_child_share"</f>
        <v>old_child_share</v>
      </c>
      <c r="B7" t="s">
        <v>14</v>
      </c>
    </row>
    <row r="8" spans="1:2">
      <c r="A8" t="s">
        <v>13</v>
      </c>
    </row>
    <row r="9" spans="1:2">
      <c r="A9" t="str">
        <f>"sibling_num"</f>
        <v>sibling_num</v>
      </c>
      <c r="B9" t="s">
        <v>15</v>
      </c>
    </row>
    <row r="10" spans="1:2">
      <c r="B10" t="s">
        <v>20</v>
      </c>
    </row>
    <row r="11" spans="1:2">
      <c r="B11" t="s">
        <v>21</v>
      </c>
    </row>
    <row r="14" spans="1:2">
      <c r="A14" t="s">
        <v>22</v>
      </c>
    </row>
    <row r="15" spans="1:2">
      <c r="A15" t="s">
        <v>16</v>
      </c>
      <c r="B15" t="s">
        <v>17</v>
      </c>
    </row>
    <row r="16" spans="1:2">
      <c r="A16" t="s">
        <v>18</v>
      </c>
      <c r="B16" t="s">
        <v>19</v>
      </c>
    </row>
    <row r="18" spans="1:1">
      <c r="A18" t="s">
        <v>23</v>
      </c>
    </row>
  </sheetData>
  <phoneticPr fontId="1" type="noConversion"/>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regression results</vt:lpstr>
      <vt:lpstr>variables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Xiaoyun Wei</dc:creator>
  <cp:lastModifiedBy>Chaoran Chen</cp:lastModifiedBy>
  <dcterms:created xsi:type="dcterms:W3CDTF">2023-03-30T07:05:00Z</dcterms:created>
  <dcterms:modified xsi:type="dcterms:W3CDTF">2024-03-09T20:54:11Z</dcterms:modified>
</cp:coreProperties>
</file>