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Distortions and Productivity in China\Replication-Files\Data-Statistics\"/>
    </mc:Choice>
  </mc:AlternateContent>
  <xr:revisionPtr revIDLastSave="0" documentId="13_ncr:1_{EC230A41-2CA5-445E-ABE8-41ADD4C4554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mployment Share" sheetId="1" r:id="rId1"/>
    <sheet name="Old Share by Employment" sheetId="6" r:id="rId2"/>
    <sheet name="Employment Old" sheetId="8" r:id="rId3"/>
    <sheet name="Employment Young" sheetId="9" r:id="rId4"/>
    <sheet name="Income Moments" sheetId="2" r:id="rId5"/>
    <sheet name="Income Moments YO" sheetId="5" r:id="rId6"/>
    <sheet name="Agr Moments Raw" sheetId="3" r:id="rId7"/>
    <sheet name="Agr Moments Permanent" sheetId="14" r:id="rId8"/>
    <sheet name="Agr Moments Other" sheetId="15" r:id="rId9"/>
    <sheet name="Part-time LS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9" i="2" l="1"/>
  <c r="AB21" i="15"/>
</calcChain>
</file>

<file path=xl/sharedStrings.xml><?xml version="1.0" encoding="utf-8"?>
<sst xmlns="http://schemas.openxmlformats.org/spreadsheetml/2006/main" count="186" uniqueCount="85">
  <si>
    <t>Rural-Urban</t>
  </si>
  <si>
    <t>Young</t>
  </si>
  <si>
    <t>Old</t>
  </si>
  <si>
    <t>YO Diff</t>
  </si>
  <si>
    <t>Urban</t>
  </si>
  <si>
    <t>Rural</t>
  </si>
  <si>
    <t>Rural-Agr</t>
  </si>
  <si>
    <t>Rural-Farming</t>
  </si>
  <si>
    <t>Farming</t>
  </si>
  <si>
    <t>Rural Nonagr</t>
  </si>
  <si>
    <t>Urban Nonagr</t>
  </si>
  <si>
    <t>Disp</t>
  </si>
  <si>
    <t>Corr</t>
  </si>
  <si>
    <t>Spearman</t>
  </si>
  <si>
    <t>Nonagr</t>
  </si>
  <si>
    <t>U-R</t>
  </si>
  <si>
    <t>R-A</t>
  </si>
  <si>
    <t>R-F</t>
  </si>
  <si>
    <t>Wage Differentials</t>
  </si>
  <si>
    <t>Farming-Rural</t>
  </si>
  <si>
    <t>Ope</t>
  </si>
  <si>
    <t>Agr</t>
  </si>
  <si>
    <t>A+R</t>
  </si>
  <si>
    <t>A+N</t>
  </si>
  <si>
    <t>Some Rural</t>
  </si>
  <si>
    <t>Some Urban</t>
  </si>
  <si>
    <t>Ope+Agr</t>
  </si>
  <si>
    <t>Pop</t>
  </si>
  <si>
    <t>Farming-Nonagr</t>
  </si>
  <si>
    <t>LS Part-Time</t>
  </si>
  <si>
    <t>Urban nonagr</t>
  </si>
  <si>
    <t>Rural nonagr</t>
  </si>
  <si>
    <t>Operator</t>
  </si>
  <si>
    <t>Employment Share</t>
  </si>
  <si>
    <t>A + R</t>
  </si>
  <si>
    <t>A + U</t>
  </si>
  <si>
    <t>Wage-Diff: W-WO Operator</t>
  </si>
  <si>
    <t>Median</t>
  </si>
  <si>
    <t>Mean</t>
  </si>
  <si>
    <t>Disp TFPR</t>
  </si>
  <si>
    <t>Disp TFPQ</t>
  </si>
  <si>
    <t>Linear Corr</t>
  </si>
  <si>
    <t>Rank Corr</t>
  </si>
  <si>
    <t>Both</t>
  </si>
  <si>
    <t>Corr LS Wage, PT</t>
  </si>
  <si>
    <t>0.10-0.20</t>
  </si>
  <si>
    <t>0.20-0.35</t>
  </si>
  <si>
    <t>Rank corr</t>
  </si>
  <si>
    <t>s.e.</t>
  </si>
  <si>
    <t>Disp Land</t>
  </si>
  <si>
    <t>TFPQ Vs. TFPR</t>
  </si>
  <si>
    <t>Raw TFPQ and TFPR (Entire Sample)</t>
  </si>
  <si>
    <t>TFPQ Vs. Land</t>
  </si>
  <si>
    <t>Raw TFPQ and TFPR (Top Sample)</t>
  </si>
  <si>
    <t>Raw TFPQ and TFPR (Rental Sample)</t>
  </si>
  <si>
    <t>Fraction of HH</t>
  </si>
  <si>
    <t>Operating Farms</t>
  </si>
  <si>
    <t>Farm Size Distribution</t>
  </si>
  <si>
    <t>AFS</t>
  </si>
  <si>
    <t>25p</t>
  </si>
  <si>
    <t>50p</t>
  </si>
  <si>
    <t>75p</t>
  </si>
  <si>
    <t>s.d.</t>
  </si>
  <si>
    <t>Sideline Agr</t>
  </si>
  <si>
    <t xml:space="preserve">Fraction of </t>
  </si>
  <si>
    <t>HH Labor</t>
  </si>
  <si>
    <t>Ave Labor Days</t>
  </si>
  <si>
    <t>Intensive 1</t>
  </si>
  <si>
    <t>Intensive 2</t>
  </si>
  <si>
    <t>Among Households with Operators</t>
  </si>
  <si>
    <t>Rent in HH</t>
  </si>
  <si>
    <t>Rent out HH</t>
  </si>
  <si>
    <t>Inactive HH</t>
  </si>
  <si>
    <t>Rent in land</t>
  </si>
  <si>
    <t>Rent out land</t>
  </si>
  <si>
    <t>Among All Households</t>
  </si>
  <si>
    <t>Fallow HH</t>
  </si>
  <si>
    <t>Fallow land</t>
  </si>
  <si>
    <t>TFPQ Vs Rentals</t>
  </si>
  <si>
    <t>Land under no operator</t>
  </si>
  <si>
    <t>Extensive 2</t>
  </si>
  <si>
    <t>Extensive 1</t>
  </si>
  <si>
    <t>Rent In Size</t>
  </si>
  <si>
    <t>N-A</t>
  </si>
  <si>
    <t>N-F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</si>
</sst>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0" borderId="4"/>
  </cellStyleXfs>
  <cellXfs count="2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1" xfId="0" applyNumberFormat="1" applyBorder="1"/>
    <xf numFmtId="0" fontId="1" fillId="0" borderId="0" xfId="0" applyFont="1"/>
    <xf numFmtId="165" fontId="2" fillId="0" borderId="2" xfId="0" applyNumberFormat="1" applyFont="1" applyBorder="1"/>
    <xf numFmtId="0" fontId="2" fillId="0" borderId="0" xfId="0" applyFont="1"/>
    <xf numFmtId="165" fontId="0" fillId="0" borderId="3" xfId="0" applyNumberFormat="1" applyBorder="1"/>
    <xf numFmtId="165" fontId="2" fillId="0" borderId="3" xfId="0" applyNumberFormat="1" applyFont="1" applyBorder="1"/>
    <xf numFmtId="165" fontId="0" fillId="0" borderId="0" xfId="0" applyNumberFormat="1"/>
    <xf numFmtId="165" fontId="3" fillId="2" borderId="4" xfId="1" applyNumberFormat="1" applyBorder="1"/>
    <xf numFmtId="165" fontId="3" fillId="2" borderId="0" xfId="1" applyNumberFormat="1"/>
    <xf numFmtId="165" fontId="3" fillId="2" borderId="2" xfId="1" applyNumberFormat="1" applyBorder="1"/>
    <xf numFmtId="165" fontId="4" fillId="2" borderId="4" xfId="1" applyNumberFormat="1" applyFont="1" applyBorder="1"/>
    <xf numFmtId="165" fontId="4" fillId="2" borderId="0" xfId="1" applyNumberFormat="1" applyFont="1"/>
    <xf numFmtId="165" fontId="4" fillId="2" borderId="2" xfId="1" applyNumberFormat="1" applyFont="1" applyBorder="1"/>
    <xf numFmtId="0" fontId="3" fillId="2" borderId="0" xfId="1"/>
    <xf numFmtId="165" fontId="3" fillId="2" borderId="3" xfId="1" applyNumberFormat="1" applyBorder="1"/>
    <xf numFmtId="0" fontId="4" fillId="2" borderId="0" xfId="1" applyFont="1"/>
    <xf numFmtId="165" fontId="4" fillId="2" borderId="3" xfId="1" applyNumberFormat="1" applyFont="1" applyBorder="1"/>
    <xf numFmtId="0" fontId="0" fillId="0" borderId="4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</cellXfs>
  <cellStyles count="3">
    <cellStyle name="Good" xfId="1" builtinId="26"/>
    <cellStyle name="Normal" xfId="0" builtinId="0"/>
    <cellStyle name="常规 2" xfId="2" xr:uid="{892D0D01-5B1F-3544-B5FC-160FB914B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"/>
  <sheetViews>
    <sheetView tabSelected="1" workbookViewId="0">
      <selection activeCell="D15" sqref="D15"/>
    </sheetView>
  </sheetViews>
  <sheetFormatPr defaultColWidth="11.6640625" defaultRowHeight="14.4" x14ac:dyDescent="0.3"/>
  <sheetData>
    <row r="1" spans="1:32" x14ac:dyDescent="0.3">
      <c r="F1" t="s">
        <v>33</v>
      </c>
      <c r="O1" s="21" t="s">
        <v>29</v>
      </c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x14ac:dyDescent="0.3">
      <c r="B2" t="s">
        <v>32</v>
      </c>
      <c r="D2" t="s">
        <v>21</v>
      </c>
      <c r="F2" t="s">
        <v>31</v>
      </c>
      <c r="H2" t="s">
        <v>30</v>
      </c>
      <c r="J2" t="s">
        <v>34</v>
      </c>
      <c r="L2" t="s">
        <v>35</v>
      </c>
      <c r="O2" s="21" t="s">
        <v>5</v>
      </c>
      <c r="P2" s="21"/>
      <c r="Q2" s="21"/>
      <c r="R2" s="21"/>
      <c r="S2" s="21"/>
      <c r="T2" s="21"/>
      <c r="U2" s="21" t="s">
        <v>4</v>
      </c>
      <c r="V2" s="21"/>
      <c r="W2" s="21"/>
      <c r="X2" s="21"/>
      <c r="Y2" s="21"/>
      <c r="Z2" s="21"/>
      <c r="AA2" s="21" t="s">
        <v>43</v>
      </c>
      <c r="AB2" s="21"/>
      <c r="AC2" s="21"/>
      <c r="AD2" s="21"/>
      <c r="AE2" s="21"/>
      <c r="AF2" s="21"/>
    </row>
    <row r="4" spans="1:32" x14ac:dyDescent="0.3">
      <c r="A4">
        <v>2003</v>
      </c>
    </row>
    <row r="5" spans="1:32" x14ac:dyDescent="0.3">
      <c r="A5">
        <v>2004</v>
      </c>
      <c r="B5" s="15">
        <v>0.22639679908752441</v>
      </c>
      <c r="C5" s="15">
        <v>4.6953377313911915E-3</v>
      </c>
      <c r="D5" s="15">
        <v>0.1777966320514679</v>
      </c>
      <c r="E5" s="15">
        <v>4.1164006106555462E-3</v>
      </c>
      <c r="F5" s="15">
        <v>0.28760150074958801</v>
      </c>
      <c r="G5" s="15">
        <v>4.7900909557938576E-3</v>
      </c>
      <c r="H5" s="15">
        <v>0.10956247895956039</v>
      </c>
      <c r="I5" s="15">
        <v>3.5370399709790945E-3</v>
      </c>
      <c r="J5" s="15">
        <v>0.16337414085865021</v>
      </c>
      <c r="K5" s="15">
        <v>3.9035272784531116E-3</v>
      </c>
      <c r="L5" s="15">
        <v>3.5268452018499374E-2</v>
      </c>
      <c r="M5" s="15">
        <v>1.7821572255343199E-3</v>
      </c>
      <c r="N5" s="15"/>
      <c r="O5" s="15">
        <v>0.31913354992866516</v>
      </c>
      <c r="P5" s="15">
        <v>6.6146575845777988E-3</v>
      </c>
      <c r="Q5" s="15">
        <v>0.23076923191547394</v>
      </c>
      <c r="R5" s="15">
        <v>1.0865624994039536E-2</v>
      </c>
      <c r="S5" s="15">
        <v>0.24552544951438904</v>
      </c>
      <c r="T5" s="15">
        <v>0.3851008415222168</v>
      </c>
      <c r="U5" s="15">
        <v>0.26594510674476624</v>
      </c>
      <c r="V5" s="15">
        <v>1.1013501323759556E-2</v>
      </c>
      <c r="W5" s="15">
        <v>0.20746888220310211</v>
      </c>
      <c r="X5" s="15">
        <v>1.2912774458527565E-2</v>
      </c>
      <c r="Y5" s="15">
        <v>0.19036298990249634</v>
      </c>
      <c r="Z5" s="15">
        <v>0.28135594725608826</v>
      </c>
      <c r="AA5" s="15">
        <v>0.30969008803367615</v>
      </c>
      <c r="AB5" s="15">
        <v>5.8672209270298481E-3</v>
      </c>
      <c r="AC5" s="15">
        <v>0.22435897588729858</v>
      </c>
      <c r="AD5" s="15">
        <v>9.3498975038528442E-3</v>
      </c>
      <c r="AE5" s="15">
        <v>0.23749169707298279</v>
      </c>
      <c r="AF5" s="15">
        <v>0.35336539149284363</v>
      </c>
    </row>
    <row r="6" spans="1:32" x14ac:dyDescent="0.3">
      <c r="A6">
        <v>2005</v>
      </c>
      <c r="B6" s="12">
        <v>0.22830741107463837</v>
      </c>
      <c r="C6" s="12">
        <v>4.4387937523424625E-3</v>
      </c>
      <c r="D6" s="12">
        <v>0.18909172713756561</v>
      </c>
      <c r="E6" s="12">
        <v>4.255528561770916E-3</v>
      </c>
      <c r="F6" s="12">
        <v>0.27112913131713867</v>
      </c>
      <c r="G6" s="12">
        <v>4.1843815706670284E-3</v>
      </c>
      <c r="H6" s="12">
        <v>0.10919540375471115</v>
      </c>
      <c r="I6" s="12">
        <v>3.0775759369134903E-3</v>
      </c>
      <c r="J6" s="12">
        <v>0.16824430227279663</v>
      </c>
      <c r="K6" s="12">
        <v>4.0014740079641342E-3</v>
      </c>
      <c r="L6" s="12">
        <v>3.4032002091407776E-2</v>
      </c>
      <c r="M6" s="12">
        <v>2.0672748796641827E-3</v>
      </c>
      <c r="N6" s="12"/>
      <c r="O6" s="12">
        <v>0.29563707113265991</v>
      </c>
      <c r="P6" s="12">
        <v>6.7968727089464664E-3</v>
      </c>
      <c r="Q6" s="12">
        <v>0.2054794579744339</v>
      </c>
      <c r="R6" s="12">
        <v>8.1624146550893784E-3</v>
      </c>
      <c r="S6" s="12">
        <v>0.22996149957180023</v>
      </c>
      <c r="T6" s="12">
        <v>0.34099617600440979</v>
      </c>
      <c r="U6" s="12">
        <v>0.26128703355789185</v>
      </c>
      <c r="V6" s="12">
        <v>1.1252420954406261E-2</v>
      </c>
      <c r="W6" s="12">
        <v>0.20000000298023224</v>
      </c>
      <c r="X6" s="12">
        <v>1.4257160946726799E-2</v>
      </c>
      <c r="Y6" s="12">
        <v>0.19924435019493103</v>
      </c>
      <c r="Z6" s="12">
        <v>0.27052238583564758</v>
      </c>
      <c r="AA6" s="12">
        <v>0.28985783457756042</v>
      </c>
      <c r="AB6" s="12">
        <v>5.9291855432093143E-3</v>
      </c>
      <c r="AC6" s="12">
        <v>0.20000000298023224</v>
      </c>
      <c r="AD6" s="12">
        <v>6.4006275497376919E-3</v>
      </c>
      <c r="AE6" s="12">
        <v>0.22540184855461121</v>
      </c>
      <c r="AF6" s="12">
        <v>0.32512316107749939</v>
      </c>
    </row>
    <row r="7" spans="1:32" x14ac:dyDescent="0.3">
      <c r="A7">
        <v>2006</v>
      </c>
      <c r="B7" s="12">
        <v>0.22037753462791443</v>
      </c>
      <c r="C7" s="12">
        <v>3.8406774401664734E-3</v>
      </c>
      <c r="D7" s="12">
        <v>0.17261768877506256</v>
      </c>
      <c r="E7" s="12">
        <v>4.0798727422952652E-3</v>
      </c>
      <c r="F7" s="12">
        <v>0.27029794454574585</v>
      </c>
      <c r="G7" s="12">
        <v>4.3130042031407356E-3</v>
      </c>
      <c r="H7" s="12">
        <v>0.13429610431194305</v>
      </c>
      <c r="I7" s="12">
        <v>3.7260097451508045E-3</v>
      </c>
      <c r="J7" s="12">
        <v>0.1663634330034256</v>
      </c>
      <c r="K7" s="12">
        <v>4.0920572355389595E-3</v>
      </c>
      <c r="L7" s="12">
        <v>3.6047305911779404E-2</v>
      </c>
      <c r="M7" s="12">
        <v>2.0193830132484436E-3</v>
      </c>
      <c r="N7" s="12"/>
      <c r="O7" s="12">
        <v>0.29555633664131165</v>
      </c>
      <c r="P7" s="12">
        <v>6.5773916430771351E-3</v>
      </c>
      <c r="Q7" s="12">
        <v>0.20000000298023224</v>
      </c>
      <c r="R7" s="12">
        <v>7.2407438419759274E-3</v>
      </c>
      <c r="S7" s="12">
        <v>0.23930233716964722</v>
      </c>
      <c r="T7" s="12">
        <v>0.37219470739364624</v>
      </c>
      <c r="U7" s="12">
        <v>0.23502960801124573</v>
      </c>
      <c r="V7" s="12">
        <v>1.0784442536532879E-2</v>
      </c>
      <c r="W7" s="12">
        <v>0.16438356041908264</v>
      </c>
      <c r="X7" s="12">
        <v>9.3847969546914101E-3</v>
      </c>
      <c r="Y7" s="12">
        <v>0.19849731028079987</v>
      </c>
      <c r="Z7" s="12">
        <v>0.21572580933570862</v>
      </c>
      <c r="AA7" s="12">
        <v>0.28477713465690613</v>
      </c>
      <c r="AB7" s="12">
        <v>5.5869934149086475E-3</v>
      </c>
      <c r="AC7" s="12">
        <v>0.18518517911434174</v>
      </c>
      <c r="AD7" s="12">
        <v>9.4232968986034393E-3</v>
      </c>
      <c r="AE7" s="12">
        <v>0.23365946114063263</v>
      </c>
      <c r="AF7" s="12">
        <v>0.33209392428398132</v>
      </c>
    </row>
    <row r="8" spans="1:32" x14ac:dyDescent="0.3">
      <c r="A8">
        <v>2007</v>
      </c>
      <c r="B8" s="12">
        <v>0.20133313536643982</v>
      </c>
      <c r="C8" s="12">
        <v>4.6598296612501144E-3</v>
      </c>
      <c r="D8" s="12">
        <v>0.15467353165149689</v>
      </c>
      <c r="E8" s="12">
        <v>4.5808311551809311E-3</v>
      </c>
      <c r="F8" s="12">
        <v>0.26162701845169067</v>
      </c>
      <c r="G8" s="12">
        <v>5.3007840178906918E-3</v>
      </c>
      <c r="H8" s="12">
        <v>0.16845932602882385</v>
      </c>
      <c r="I8" s="12">
        <v>4.7473255544900894E-3</v>
      </c>
      <c r="J8" s="12">
        <v>0.17891228199005127</v>
      </c>
      <c r="K8" s="12">
        <v>4.7493469901382923E-3</v>
      </c>
      <c r="L8" s="12">
        <v>3.4994699060916901E-2</v>
      </c>
      <c r="M8" s="12">
        <v>2.112529706209898E-3</v>
      </c>
      <c r="N8" s="12"/>
      <c r="O8" s="12">
        <v>0.25845861434936523</v>
      </c>
      <c r="P8" s="12">
        <v>6.6759116016328335E-3</v>
      </c>
      <c r="Q8" s="12">
        <v>0.1666666716337204</v>
      </c>
      <c r="R8" s="12">
        <v>6.7376093938946724E-3</v>
      </c>
      <c r="S8" s="12">
        <v>0.21507708728313446</v>
      </c>
      <c r="T8" s="12">
        <v>0.30303031206130981</v>
      </c>
      <c r="U8" s="12">
        <v>0.21161368489265442</v>
      </c>
      <c r="V8" s="12">
        <v>1.0839102789759636E-2</v>
      </c>
      <c r="W8" s="12">
        <v>0.1428571492433548</v>
      </c>
      <c r="X8" s="12">
        <v>1.0209684260189533E-2</v>
      </c>
      <c r="Y8" s="12">
        <v>0.17996318638324738</v>
      </c>
      <c r="Z8" s="12">
        <v>0.18181818723678589</v>
      </c>
      <c r="AA8" s="12">
        <v>0.25079488754272461</v>
      </c>
      <c r="AB8" s="12">
        <v>5.9550120495259762E-3</v>
      </c>
      <c r="AC8" s="12">
        <v>0.1666666716337204</v>
      </c>
      <c r="AD8" s="12">
        <v>5.6670666672289371E-3</v>
      </c>
      <c r="AE8" s="12">
        <v>0.21039189398288727</v>
      </c>
      <c r="AF8" s="12">
        <v>0.27344876527786255</v>
      </c>
    </row>
    <row r="9" spans="1:32" x14ac:dyDescent="0.3">
      <c r="A9">
        <v>2008</v>
      </c>
      <c r="B9" s="12">
        <v>0.20291990041732788</v>
      </c>
      <c r="C9" s="12">
        <v>4.2972452938556671E-3</v>
      </c>
      <c r="D9" s="12">
        <v>0.18376640975475311</v>
      </c>
      <c r="E9" s="12">
        <v>4.1010500863194466E-3</v>
      </c>
      <c r="F9" s="12">
        <v>0.26734530925750732</v>
      </c>
      <c r="G9" s="12">
        <v>5.0878352485597134E-3</v>
      </c>
      <c r="H9" s="12">
        <v>0.16260381042957306</v>
      </c>
      <c r="I9" s="12">
        <v>3.7278302479535341E-3</v>
      </c>
      <c r="J9" s="12">
        <v>0.14894187450408936</v>
      </c>
      <c r="K9" s="12">
        <v>4.112989641726017E-3</v>
      </c>
      <c r="L9" s="12">
        <v>3.4422717988491058E-2</v>
      </c>
      <c r="M9" s="12">
        <v>2.0464109256863594E-3</v>
      </c>
      <c r="N9" s="12"/>
      <c r="O9" s="12">
        <v>0.24134790897369385</v>
      </c>
      <c r="P9" s="12">
        <v>6.5963948145508766E-3</v>
      </c>
      <c r="Q9" s="12">
        <v>0.14705882966518402</v>
      </c>
      <c r="R9" s="12">
        <v>6.1172377318143845E-3</v>
      </c>
      <c r="S9" s="12">
        <v>0.20914092659950256</v>
      </c>
      <c r="T9" s="12">
        <v>0.24242424964904785</v>
      </c>
      <c r="U9" s="12">
        <v>0.23063589632511139</v>
      </c>
      <c r="V9" s="12">
        <v>1.2062876485288143E-2</v>
      </c>
      <c r="W9" s="12">
        <v>0.15625</v>
      </c>
      <c r="X9" s="12">
        <v>1.3284721411764622E-2</v>
      </c>
      <c r="Y9" s="12">
        <v>0.19490844011306763</v>
      </c>
      <c r="Z9" s="12">
        <v>0.25</v>
      </c>
      <c r="AA9" s="12">
        <v>0.23933696746826172</v>
      </c>
      <c r="AB9" s="12">
        <v>4.7125755809247494E-3</v>
      </c>
      <c r="AC9" s="12">
        <v>0.15000000596046448</v>
      </c>
      <c r="AD9" s="12">
        <v>6.028647068887949E-3</v>
      </c>
      <c r="AE9" s="12">
        <v>0.20651711523532867</v>
      </c>
      <c r="AF9" s="12">
        <v>0.24242424964904785</v>
      </c>
    </row>
    <row r="10" spans="1:32" x14ac:dyDescent="0.3">
      <c r="A10">
        <v>2009</v>
      </c>
      <c r="B10" s="12">
        <v>0.17850637435913086</v>
      </c>
      <c r="C10" s="12">
        <v>5.1161609590053558E-3</v>
      </c>
      <c r="D10" s="12">
        <v>0.15085278451442719</v>
      </c>
      <c r="E10" s="12">
        <v>4.6727447770535946E-3</v>
      </c>
      <c r="F10" s="12">
        <v>0.3333333432674408</v>
      </c>
      <c r="G10" s="12">
        <v>5.1128324121236801E-3</v>
      </c>
      <c r="H10" s="12">
        <v>0.17883755266666412</v>
      </c>
      <c r="I10" s="12">
        <v>4.4248010963201523E-3</v>
      </c>
      <c r="J10" s="12">
        <v>0.1268421858549118</v>
      </c>
      <c r="K10" s="12">
        <v>4.5216078869998455E-3</v>
      </c>
      <c r="L10" s="12">
        <v>3.1627751886844635E-2</v>
      </c>
      <c r="M10" s="12">
        <v>2.06766277551651E-3</v>
      </c>
      <c r="N10" s="12"/>
      <c r="O10" s="12">
        <v>0.26998275518417358</v>
      </c>
      <c r="P10" s="12">
        <v>9.5188627019524574E-3</v>
      </c>
      <c r="Q10" s="12">
        <v>0.1428571492433548</v>
      </c>
      <c r="R10" s="12">
        <v>7.5224046595394611E-3</v>
      </c>
      <c r="S10" s="12">
        <v>0.24674415588378906</v>
      </c>
      <c r="T10" s="12">
        <v>0.29370629787445068</v>
      </c>
      <c r="U10" s="12">
        <v>0.20515581965446472</v>
      </c>
      <c r="V10" s="12">
        <v>1.2392079457640648E-2</v>
      </c>
      <c r="W10" s="12">
        <v>0.1428571492433548</v>
      </c>
      <c r="X10" s="12">
        <v>1.4210968278348446E-2</v>
      </c>
      <c r="Y10" s="12">
        <v>0.17113326489925385</v>
      </c>
      <c r="Z10" s="12">
        <v>0.1652892529964447</v>
      </c>
      <c r="AA10" s="12">
        <v>0.2570444643497467</v>
      </c>
      <c r="AB10" s="12">
        <v>7.2745033539831638E-3</v>
      </c>
      <c r="AC10" s="12">
        <v>0.1428571492433548</v>
      </c>
      <c r="AD10" s="12">
        <v>8.4707960486412048E-3</v>
      </c>
      <c r="AE10" s="12">
        <v>0.23497124016284943</v>
      </c>
      <c r="AF10" s="12">
        <v>0.28409090638160706</v>
      </c>
    </row>
    <row r="11" spans="1:32" x14ac:dyDescent="0.3">
      <c r="A11">
        <v>2010</v>
      </c>
      <c r="B11" s="12">
        <v>0.18200983107089996</v>
      </c>
      <c r="C11" s="12">
        <v>4.2481650598347187E-3</v>
      </c>
      <c r="D11" s="12">
        <v>0.16458186507225037</v>
      </c>
      <c r="E11" s="12">
        <v>4.2769899591803551E-3</v>
      </c>
      <c r="F11" s="12">
        <v>0.31876316666603088</v>
      </c>
      <c r="G11" s="12">
        <v>5.703262984752655E-3</v>
      </c>
      <c r="H11" s="12">
        <v>0.17498242855072021</v>
      </c>
      <c r="I11" s="12">
        <v>4.8904991708695889E-3</v>
      </c>
      <c r="J11" s="12">
        <v>0.13534785807132721</v>
      </c>
      <c r="K11" s="12">
        <v>3.8503385148942471E-3</v>
      </c>
      <c r="L11" s="12">
        <v>2.4314828217029572E-2</v>
      </c>
      <c r="M11" s="12">
        <v>1.7046169377863407E-3</v>
      </c>
      <c r="N11" s="12"/>
      <c r="O11" s="12">
        <v>0.26040124893188477</v>
      </c>
      <c r="P11" s="12">
        <v>7.8027117997407913E-3</v>
      </c>
      <c r="Q11" s="12">
        <v>0.1428571492433548</v>
      </c>
      <c r="R11" s="12">
        <v>9.0023372322320938E-3</v>
      </c>
      <c r="S11" s="12">
        <v>0.24110788106918335</v>
      </c>
      <c r="T11" s="12">
        <v>0.2450980544090271</v>
      </c>
      <c r="U11" s="12">
        <v>0.20246116816997528</v>
      </c>
      <c r="V11" s="12">
        <v>1.350790448486805E-2</v>
      </c>
      <c r="W11" s="12">
        <v>0.13793103396892548</v>
      </c>
      <c r="X11" s="12">
        <v>7.3472391813993454E-3</v>
      </c>
      <c r="Y11" s="12">
        <v>0.17995493113994598</v>
      </c>
      <c r="Z11" s="12">
        <v>0.15909090638160706</v>
      </c>
      <c r="AA11" s="12">
        <v>0.25157764554023743</v>
      </c>
      <c r="AB11" s="12">
        <v>7.4048708193004131E-3</v>
      </c>
      <c r="AC11" s="12">
        <v>0.1428571492433548</v>
      </c>
      <c r="AD11" s="12">
        <v>4.1445787064731121E-3</v>
      </c>
      <c r="AE11" s="12">
        <v>0.23369525372982025</v>
      </c>
      <c r="AF11" s="12">
        <v>0.24378110468387604</v>
      </c>
    </row>
    <row r="12" spans="1:32" x14ac:dyDescent="0.3">
      <c r="A12">
        <v>2011</v>
      </c>
      <c r="B12" s="12">
        <v>0.18389326333999634</v>
      </c>
      <c r="C12" s="12">
        <v>4.8389141447842121E-3</v>
      </c>
      <c r="D12" s="12">
        <v>0.17039060592651367</v>
      </c>
      <c r="E12" s="12">
        <v>5.183312576264143E-3</v>
      </c>
      <c r="F12" s="12">
        <v>0.31152546405792236</v>
      </c>
      <c r="G12" s="12">
        <v>5.8833407238125801E-3</v>
      </c>
      <c r="H12" s="12">
        <v>0.17231956124305725</v>
      </c>
      <c r="I12" s="12">
        <v>5.3032883442938328E-3</v>
      </c>
      <c r="J12" s="12">
        <v>0.13422279059886932</v>
      </c>
      <c r="K12" s="12">
        <v>4.6334597282111645E-3</v>
      </c>
      <c r="L12" s="12">
        <v>2.7648288756608963E-2</v>
      </c>
      <c r="M12" s="12">
        <v>1.8693015445023775E-3</v>
      </c>
      <c r="N12" s="12"/>
      <c r="O12" s="12">
        <v>0.27591922879219055</v>
      </c>
      <c r="P12" s="12">
        <v>8.1206811591982841E-3</v>
      </c>
      <c r="Q12" s="12">
        <v>0.1666666716337204</v>
      </c>
      <c r="R12" s="12">
        <v>1.1018532328307629E-2</v>
      </c>
      <c r="S12" s="12">
        <v>0.23284691572189331</v>
      </c>
      <c r="T12" s="12">
        <v>0.3073209822177887</v>
      </c>
      <c r="U12" s="12">
        <v>0.16012436151504517</v>
      </c>
      <c r="V12" s="12">
        <v>1.2459385208785534E-2</v>
      </c>
      <c r="W12" s="12">
        <v>0.10543029755353928</v>
      </c>
      <c r="X12" s="12">
        <v>9.4455499202013016E-3</v>
      </c>
      <c r="Y12" s="12">
        <v>0.14264895021915436</v>
      </c>
      <c r="Z12" s="12">
        <v>0.12799540162086487</v>
      </c>
      <c r="AA12" s="12">
        <v>0.25614097714424133</v>
      </c>
      <c r="AB12" s="12">
        <v>7.0071290247142315E-3</v>
      </c>
      <c r="AC12" s="12">
        <v>0.15625</v>
      </c>
      <c r="AD12" s="12">
        <v>9.7419405356049538E-3</v>
      </c>
      <c r="AE12" s="12">
        <v>0.22429372370243073</v>
      </c>
      <c r="AF12" s="12">
        <v>0.26203209161758423</v>
      </c>
    </row>
    <row r="13" spans="1:32" x14ac:dyDescent="0.3">
      <c r="A13">
        <v>2012</v>
      </c>
      <c r="B13" s="12">
        <v>0.1874244213104248</v>
      </c>
      <c r="C13" s="12">
        <v>4.7904304228723049E-3</v>
      </c>
      <c r="D13" s="12">
        <v>0.18345136940479279</v>
      </c>
      <c r="E13" s="12">
        <v>5.6718415580689907E-3</v>
      </c>
      <c r="F13" s="12">
        <v>0.30212470889091492</v>
      </c>
      <c r="G13" s="12">
        <v>6.2253712676465511E-3</v>
      </c>
      <c r="H13" s="12">
        <v>0.18189670145511627</v>
      </c>
      <c r="I13" s="12">
        <v>5.1244962960481644E-3</v>
      </c>
      <c r="J13" s="12">
        <v>0.12230091542005539</v>
      </c>
      <c r="K13" s="12">
        <v>3.9185695350170135E-3</v>
      </c>
      <c r="L13" s="12">
        <v>2.2801864892244339E-2</v>
      </c>
      <c r="M13" s="12">
        <v>2.0143522415310144E-3</v>
      </c>
      <c r="N13" s="12"/>
      <c r="O13" s="12">
        <v>0.25645256042480469</v>
      </c>
      <c r="P13" s="12">
        <v>7.8845564275979996E-3</v>
      </c>
      <c r="Q13" s="12">
        <v>0.1666666716337204</v>
      </c>
      <c r="R13" s="12">
        <v>1.0324398055672646E-2</v>
      </c>
      <c r="S13" s="12">
        <v>0.21982896327972412</v>
      </c>
      <c r="T13" s="12">
        <v>0.2843647301197052</v>
      </c>
      <c r="U13" s="12">
        <v>0.22455999255180359</v>
      </c>
      <c r="V13" s="12">
        <v>1.7134003341197968E-2</v>
      </c>
      <c r="W13" s="12">
        <v>0.1304347813129425</v>
      </c>
      <c r="X13" s="12">
        <v>1.2716806493699551E-2</v>
      </c>
      <c r="Y13" s="12">
        <v>0.20845301449298859</v>
      </c>
      <c r="Z13" s="12">
        <v>0.19875776767730713</v>
      </c>
      <c r="AA13" s="12">
        <v>0.25144085288047791</v>
      </c>
      <c r="AB13" s="12">
        <v>7.2646201588213444E-3</v>
      </c>
      <c r="AC13" s="12">
        <v>0.15438786149024963</v>
      </c>
      <c r="AD13" s="12">
        <v>1.1164720170199871E-2</v>
      </c>
      <c r="AE13" s="12">
        <v>0.21826893091201782</v>
      </c>
      <c r="AF13" s="12">
        <v>0.2801857590675354</v>
      </c>
    </row>
    <row r="14" spans="1:32" x14ac:dyDescent="0.3">
      <c r="A14">
        <v>2013</v>
      </c>
      <c r="B14" s="12">
        <v>0.17219153046607971</v>
      </c>
      <c r="C14" s="12">
        <v>5.5144154466688633E-3</v>
      </c>
      <c r="D14" s="12">
        <v>0.15524861216545105</v>
      </c>
      <c r="E14" s="12">
        <v>4.8671504482626915E-3</v>
      </c>
      <c r="F14" s="12">
        <v>0.33885818719863892</v>
      </c>
      <c r="G14" s="12">
        <v>6.2953261658549309E-3</v>
      </c>
      <c r="H14" s="12">
        <v>0.19852671027183533</v>
      </c>
      <c r="I14" s="12">
        <v>5.7994513772428036E-3</v>
      </c>
      <c r="J14" s="12">
        <v>0.10718232393264771</v>
      </c>
      <c r="K14" s="12">
        <v>4.02873195707798E-3</v>
      </c>
      <c r="L14" s="12">
        <v>2.7992634102702141E-2</v>
      </c>
      <c r="M14" s="12">
        <v>2.2779821883887053E-3</v>
      </c>
      <c r="N14" s="12"/>
      <c r="O14" s="12">
        <v>0.235221266746521</v>
      </c>
      <c r="P14" s="12">
        <v>9.4877313822507858E-3</v>
      </c>
      <c r="Q14" s="12">
        <v>0.125</v>
      </c>
      <c r="R14" s="12">
        <v>3.5905484110116959E-3</v>
      </c>
      <c r="S14" s="12">
        <v>0.2323947548866272</v>
      </c>
      <c r="T14" s="12">
        <v>0.23484846949577332</v>
      </c>
      <c r="U14" s="12">
        <v>0.18484853208065033</v>
      </c>
      <c r="V14" s="12">
        <v>1.1475885286927223E-2</v>
      </c>
      <c r="W14" s="12">
        <v>0.1428571492433548</v>
      </c>
      <c r="X14" s="12">
        <v>1.2242810800671577E-2</v>
      </c>
      <c r="Y14" s="12">
        <v>0.13916295766830444</v>
      </c>
      <c r="Z14" s="12">
        <v>0.13131313025951385</v>
      </c>
      <c r="AA14" s="12">
        <v>0.22478985786437988</v>
      </c>
      <c r="AB14" s="12">
        <v>8.4311952814459801E-3</v>
      </c>
      <c r="AC14" s="12">
        <v>0.1304347813129425</v>
      </c>
      <c r="AD14" s="12">
        <v>4.6301968395709991E-3</v>
      </c>
      <c r="AE14" s="12">
        <v>0.21728947758674622</v>
      </c>
      <c r="AF14" s="12">
        <v>0.19377508759498596</v>
      </c>
    </row>
    <row r="19" spans="2:13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3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3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3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2:13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2:13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2:13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13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4">
    <mergeCell ref="AA2:AF2"/>
    <mergeCell ref="O1:AF1"/>
    <mergeCell ref="O2:T2"/>
    <mergeCell ref="U2:Z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3"/>
  <sheetViews>
    <sheetView workbookViewId="0">
      <selection activeCell="E19" sqref="E19"/>
    </sheetView>
  </sheetViews>
  <sheetFormatPr defaultColWidth="8.77734375" defaultRowHeight="14.4" x14ac:dyDescent="0.3"/>
  <sheetData>
    <row r="2" spans="1:21" x14ac:dyDescent="0.3">
      <c r="B2" t="s">
        <v>20</v>
      </c>
      <c r="D2" t="s">
        <v>21</v>
      </c>
      <c r="F2" t="s">
        <v>5</v>
      </c>
      <c r="H2" t="s">
        <v>4</v>
      </c>
      <c r="J2" t="s">
        <v>22</v>
      </c>
      <c r="L2" t="s">
        <v>23</v>
      </c>
      <c r="N2" t="s">
        <v>24</v>
      </c>
      <c r="P2" t="s">
        <v>25</v>
      </c>
      <c r="R2" t="s">
        <v>26</v>
      </c>
      <c r="T2" t="s">
        <v>27</v>
      </c>
    </row>
    <row r="3" spans="1:21" x14ac:dyDescent="0.3">
      <c r="A3">
        <v>2003</v>
      </c>
    </row>
    <row r="4" spans="1:21" x14ac:dyDescent="0.3">
      <c r="A4">
        <v>2004</v>
      </c>
      <c r="B4" s="15">
        <v>0.57012850046157837</v>
      </c>
      <c r="C4" s="15">
        <v>1.1621171608567238E-2</v>
      </c>
      <c r="D4" s="15">
        <v>0.55691885948181152</v>
      </c>
      <c r="E4" s="15">
        <v>1.4633042737841606E-2</v>
      </c>
      <c r="F4" s="15">
        <v>0.34260430932044983</v>
      </c>
      <c r="G4" s="15">
        <v>1.0132966563105583E-2</v>
      </c>
      <c r="H4" s="15">
        <v>0.10810811072587967</v>
      </c>
      <c r="I4" s="15">
        <v>1.0903582908213139E-2</v>
      </c>
      <c r="J4" s="15">
        <v>0.42655786871910095</v>
      </c>
      <c r="K4" s="15">
        <v>1.3045890256762505E-2</v>
      </c>
      <c r="L4" s="15">
        <v>0.23711340129375458</v>
      </c>
      <c r="M4" s="15">
        <v>2.7021037414669991E-2</v>
      </c>
      <c r="N4" s="15">
        <v>0.37301799654960632</v>
      </c>
      <c r="O4" s="15">
        <v>8.0883651971817017E-3</v>
      </c>
      <c r="P4" s="15">
        <v>0.14644351601600647</v>
      </c>
      <c r="Q4" s="15">
        <v>1.1491994373500347E-2</v>
      </c>
      <c r="R4" s="15">
        <v>0.56431782245635986</v>
      </c>
      <c r="S4" s="15">
        <v>8.3660539239645004E-3</v>
      </c>
      <c r="T4" s="15">
        <v>0.41752514243125916</v>
      </c>
      <c r="U4" s="15">
        <v>5.6329229846596718E-3</v>
      </c>
    </row>
    <row r="5" spans="1:21" x14ac:dyDescent="0.3">
      <c r="A5">
        <v>2005</v>
      </c>
      <c r="B5" s="12">
        <v>0.56564658880233765</v>
      </c>
      <c r="C5" s="12">
        <v>1.1275395750999451E-2</v>
      </c>
      <c r="D5" s="12">
        <v>0.54350417852401733</v>
      </c>
      <c r="E5" s="12">
        <v>9.6449488773941994E-3</v>
      </c>
      <c r="F5" s="12">
        <v>0.34289276599884033</v>
      </c>
      <c r="G5" s="12">
        <v>9.3578733503818512E-3</v>
      </c>
      <c r="H5" s="12">
        <v>0.13213886320590973</v>
      </c>
      <c r="I5" s="12">
        <v>1.120894867926836E-2</v>
      </c>
      <c r="J5" s="12">
        <v>0.43469524383544922</v>
      </c>
      <c r="K5" s="12">
        <v>1.2242727912962437E-2</v>
      </c>
      <c r="L5" s="12">
        <v>0.25165563821792603</v>
      </c>
      <c r="M5" s="12">
        <v>2.051185630261898E-2</v>
      </c>
      <c r="N5" s="12">
        <v>0.37804564833641052</v>
      </c>
      <c r="O5" s="12">
        <v>7.9805748537182808E-3</v>
      </c>
      <c r="P5" s="12">
        <v>0.17230527102947235</v>
      </c>
      <c r="Q5" s="12">
        <v>1.0710502043366432E-2</v>
      </c>
      <c r="R5" s="12">
        <v>0.55561554431915283</v>
      </c>
      <c r="S5" s="12">
        <v>8.441610261797905E-3</v>
      </c>
      <c r="T5" s="12">
        <v>0.42269551753997803</v>
      </c>
      <c r="U5" s="12">
        <v>5.299753975123167E-3</v>
      </c>
    </row>
    <row r="6" spans="1:21" x14ac:dyDescent="0.3">
      <c r="A6">
        <v>2006</v>
      </c>
      <c r="B6" s="12">
        <v>0.60010319948196411</v>
      </c>
      <c r="C6" s="12">
        <v>9.267871268093586E-3</v>
      </c>
      <c r="D6" s="12">
        <v>0.55006587505340576</v>
      </c>
      <c r="E6" s="12">
        <v>1.3824672438204288E-2</v>
      </c>
      <c r="F6" s="12">
        <v>0.33529660105705261</v>
      </c>
      <c r="G6" s="12">
        <v>1.04863615706563E-2</v>
      </c>
      <c r="H6" s="12">
        <v>0.13255184888839722</v>
      </c>
      <c r="I6" s="12">
        <v>1.0536833666265011E-2</v>
      </c>
      <c r="J6" s="12">
        <v>0.45454546809196472</v>
      </c>
      <c r="K6" s="12">
        <v>1.2845274060964584E-2</v>
      </c>
      <c r="L6" s="12">
        <v>0.27760252356529236</v>
      </c>
      <c r="M6" s="12">
        <v>2.5335557758808136E-2</v>
      </c>
      <c r="N6" s="12">
        <v>0.38072916865348816</v>
      </c>
      <c r="O6" s="12">
        <v>7.7321780845522881E-3</v>
      </c>
      <c r="P6" s="12">
        <v>0.17022697627544403</v>
      </c>
      <c r="Q6" s="12">
        <v>1.0200265794992447E-2</v>
      </c>
      <c r="R6" s="12">
        <v>0.578125</v>
      </c>
      <c r="S6" s="12">
        <v>9.2432154342532158E-3</v>
      </c>
      <c r="T6" s="12">
        <v>0.42244711518287659</v>
      </c>
      <c r="U6" s="12">
        <v>4.845786839723587E-3</v>
      </c>
    </row>
    <row r="7" spans="1:21" x14ac:dyDescent="0.3">
      <c r="A7">
        <v>2007</v>
      </c>
      <c r="B7" s="12">
        <v>0.63054931163787842</v>
      </c>
      <c r="C7" s="12">
        <v>1.1441879905760288E-2</v>
      </c>
      <c r="D7" s="12">
        <v>0.58863860368728638</v>
      </c>
      <c r="E7" s="12">
        <v>1.6089625656604767E-2</v>
      </c>
      <c r="F7" s="12">
        <v>0.36247828602790833</v>
      </c>
      <c r="G7" s="12">
        <v>1.2254363857209682E-2</v>
      </c>
      <c r="H7" s="12">
        <v>0.14733840525150299</v>
      </c>
      <c r="I7" s="12">
        <v>1.1432782746851444E-2</v>
      </c>
      <c r="J7" s="12">
        <v>0.49534294009208679</v>
      </c>
      <c r="K7" s="12">
        <v>1.4283426105976105E-2</v>
      </c>
      <c r="L7" s="12">
        <v>0.31168830394744873</v>
      </c>
      <c r="M7" s="12">
        <v>2.7775060385465622E-2</v>
      </c>
      <c r="N7" s="12">
        <v>0.41643741726875305</v>
      </c>
      <c r="O7" s="12">
        <v>8.9307324960827827E-3</v>
      </c>
      <c r="P7" s="12">
        <v>0.1787043958902359</v>
      </c>
      <c r="Q7" s="12">
        <v>1.1625104583799839E-2</v>
      </c>
      <c r="R7" s="12">
        <v>0.61234045028686523</v>
      </c>
      <c r="S7" s="12">
        <v>1.0069248266518116E-2</v>
      </c>
      <c r="T7" s="12">
        <v>0.4378124475479126</v>
      </c>
      <c r="U7" s="12">
        <v>5.4267416708171368E-3</v>
      </c>
    </row>
    <row r="8" spans="1:21" x14ac:dyDescent="0.3">
      <c r="A8">
        <v>2008</v>
      </c>
      <c r="B8" s="12">
        <v>0.63234323263168335</v>
      </c>
      <c r="C8" s="12">
        <v>1.3079404830932617E-2</v>
      </c>
      <c r="D8" s="12">
        <v>0.55612242221832275</v>
      </c>
      <c r="E8" s="12">
        <v>1.3986949808895588E-2</v>
      </c>
      <c r="F8" s="12">
        <v>0.3702404797077179</v>
      </c>
      <c r="G8" s="12">
        <v>1.0605648159980774E-2</v>
      </c>
      <c r="H8" s="12">
        <v>0.16307161748409271</v>
      </c>
      <c r="I8" s="12">
        <v>9.6631916239857674E-3</v>
      </c>
      <c r="J8" s="12">
        <v>0.49550360441207886</v>
      </c>
      <c r="K8" s="12">
        <v>1.4616861939430237E-2</v>
      </c>
      <c r="L8" s="12">
        <v>0.35797664523124695</v>
      </c>
      <c r="M8" s="12">
        <v>2.7792723849415779E-2</v>
      </c>
      <c r="N8" s="12">
        <v>0.41505792737007141</v>
      </c>
      <c r="O8" s="12">
        <v>8.5576865822076797E-3</v>
      </c>
      <c r="P8" s="12">
        <v>0.19986404478549957</v>
      </c>
      <c r="Q8" s="12">
        <v>1.0602785274386406E-2</v>
      </c>
      <c r="R8" s="12">
        <v>0.59612053632736206</v>
      </c>
      <c r="S8" s="12">
        <v>8.7635302916169167E-3</v>
      </c>
      <c r="T8" s="12">
        <v>0.4426734447479248</v>
      </c>
      <c r="U8" s="12">
        <v>5.7879802770912647E-3</v>
      </c>
    </row>
    <row r="9" spans="1:21" x14ac:dyDescent="0.3">
      <c r="A9">
        <v>2009</v>
      </c>
      <c r="B9" s="12">
        <v>0.67254173755645752</v>
      </c>
      <c r="C9" s="12">
        <v>1.42122907564044E-2</v>
      </c>
      <c r="D9" s="12">
        <v>0.59275519847869873</v>
      </c>
      <c r="E9" s="12">
        <v>1.5206820331513882E-2</v>
      </c>
      <c r="F9" s="12">
        <v>0.37555885314941406</v>
      </c>
      <c r="G9" s="12">
        <v>9.9817914888262749E-3</v>
      </c>
      <c r="H9" s="12">
        <v>0.19436345994472504</v>
      </c>
      <c r="I9" s="12">
        <v>1.319515984505415E-2</v>
      </c>
      <c r="J9" s="12">
        <v>0.51044386625289917</v>
      </c>
      <c r="K9" s="12">
        <v>1.7271468415856361E-2</v>
      </c>
      <c r="L9" s="12">
        <v>0.32460734248161316</v>
      </c>
      <c r="M9" s="12">
        <v>3.3703617751598358E-2</v>
      </c>
      <c r="N9" s="12">
        <v>0.4127383828163147</v>
      </c>
      <c r="O9" s="12">
        <v>9.1543169692158699E-3</v>
      </c>
      <c r="P9" s="12">
        <v>0.21557828783988953</v>
      </c>
      <c r="Q9" s="12">
        <v>1.200812216848135E-2</v>
      </c>
      <c r="R9" s="12">
        <v>0.63599801063537598</v>
      </c>
      <c r="S9" s="12">
        <v>1.0276947170495987E-2</v>
      </c>
      <c r="T9" s="12">
        <v>0.44477561116218567</v>
      </c>
      <c r="U9" s="12">
        <v>6.6169821657240391E-3</v>
      </c>
    </row>
    <row r="10" spans="1:21" x14ac:dyDescent="0.3">
      <c r="A10">
        <v>2010</v>
      </c>
      <c r="B10" s="12">
        <v>0.67490345239639282</v>
      </c>
      <c r="C10" s="12">
        <v>1.4268269762396812E-2</v>
      </c>
      <c r="D10" s="12">
        <v>0.58582407236099243</v>
      </c>
      <c r="E10" s="12">
        <v>1.5702888369560242E-2</v>
      </c>
      <c r="F10" s="12">
        <v>0.3769841194152832</v>
      </c>
      <c r="G10" s="12">
        <v>9.5673361793160439E-3</v>
      </c>
      <c r="H10" s="12">
        <v>0.193097785115242</v>
      </c>
      <c r="I10" s="12">
        <v>1.0740505531430244E-2</v>
      </c>
      <c r="J10" s="12">
        <v>0.54413288831710815</v>
      </c>
      <c r="K10" s="12">
        <v>1.7328320071101189E-2</v>
      </c>
      <c r="L10" s="12">
        <v>0.42774567008018494</v>
      </c>
      <c r="M10" s="12">
        <v>4.2044609785079956E-2</v>
      </c>
      <c r="N10" s="12">
        <v>0.42680284380912781</v>
      </c>
      <c r="O10" s="12">
        <v>8.0642318353056908E-3</v>
      </c>
      <c r="P10" s="12">
        <v>0.22143864631652832</v>
      </c>
      <c r="Q10" s="12">
        <v>1.0703987441956997E-2</v>
      </c>
      <c r="R10" s="12">
        <v>0.63260340690612793</v>
      </c>
      <c r="S10" s="12">
        <v>9.7126578912138939E-3</v>
      </c>
      <c r="T10" s="12">
        <v>0.45720309019088745</v>
      </c>
      <c r="U10" s="12">
        <v>5.9238108806312084E-3</v>
      </c>
    </row>
    <row r="11" spans="1:21" x14ac:dyDescent="0.3">
      <c r="A11">
        <v>2011</v>
      </c>
      <c r="B11" s="12">
        <v>0.67307692766189575</v>
      </c>
      <c r="C11" s="12">
        <v>1.3516487553715706E-2</v>
      </c>
      <c r="D11" s="12">
        <v>0.58018869161605835</v>
      </c>
      <c r="E11" s="12">
        <v>1.3531552627682686E-2</v>
      </c>
      <c r="F11" s="12">
        <v>0.37616097927093506</v>
      </c>
      <c r="G11" s="12">
        <v>8.9223291724920273E-3</v>
      </c>
      <c r="H11" s="12">
        <v>0.1994047611951828</v>
      </c>
      <c r="I11" s="12">
        <v>1.2373507954180241E-2</v>
      </c>
      <c r="J11" s="12">
        <v>0.53173655271530151</v>
      </c>
      <c r="K11" s="12">
        <v>1.7352703958749771E-2</v>
      </c>
      <c r="L11" s="12">
        <v>0.41860464215278625</v>
      </c>
      <c r="M11" s="12">
        <v>3.7898238748311996E-2</v>
      </c>
      <c r="N11" s="12">
        <v>0.42300757765769958</v>
      </c>
      <c r="O11" s="12">
        <v>1.0044102557003498E-2</v>
      </c>
      <c r="P11" s="12">
        <v>0.23070739209651947</v>
      </c>
      <c r="Q11" s="12">
        <v>1.1238728649914265E-2</v>
      </c>
      <c r="R11" s="12">
        <v>0.62840288877487183</v>
      </c>
      <c r="S11" s="12">
        <v>9.5838261768221855E-3</v>
      </c>
      <c r="T11" s="12">
        <v>0.45732197165489197</v>
      </c>
      <c r="U11" s="12">
        <v>7.4581499211490154E-3</v>
      </c>
    </row>
    <row r="12" spans="1:21" x14ac:dyDescent="0.3">
      <c r="A12">
        <v>2012</v>
      </c>
      <c r="B12" s="12">
        <v>0.6764976978302002</v>
      </c>
      <c r="C12" s="12">
        <v>1.5343938954174519E-2</v>
      </c>
      <c r="D12" s="12">
        <v>0.5941619873046875</v>
      </c>
      <c r="E12" s="12">
        <v>1.4942769892513752E-2</v>
      </c>
      <c r="F12" s="12">
        <v>0.38707834482192993</v>
      </c>
      <c r="G12" s="12">
        <v>1.2559933587908745E-2</v>
      </c>
      <c r="H12" s="12">
        <v>0.20941883325576782</v>
      </c>
      <c r="I12" s="12">
        <v>1.3367380946874619E-2</v>
      </c>
      <c r="J12" s="12">
        <v>0.56214690208435059</v>
      </c>
      <c r="K12" s="12">
        <v>1.8293272703886032E-2</v>
      </c>
      <c r="L12" s="12">
        <v>0.36363637447357178</v>
      </c>
      <c r="M12" s="12">
        <v>4.5829236507415771E-2</v>
      </c>
      <c r="N12" s="12">
        <v>0.43752545118331909</v>
      </c>
      <c r="O12" s="12">
        <v>9.5786908641457558E-3</v>
      </c>
      <c r="P12" s="12">
        <v>0.22784809768199921</v>
      </c>
      <c r="Q12" s="12">
        <v>1.342873927205801E-2</v>
      </c>
      <c r="R12" s="12">
        <v>0.63577085733413696</v>
      </c>
      <c r="S12" s="12">
        <v>9.7780600190162659E-3</v>
      </c>
      <c r="T12" s="12">
        <v>0.46812921762466431</v>
      </c>
      <c r="U12" s="12">
        <v>6.2581738457083702E-3</v>
      </c>
    </row>
    <row r="13" spans="1:21" x14ac:dyDescent="0.3">
      <c r="A13">
        <v>2013</v>
      </c>
      <c r="B13" s="12">
        <v>0.72620320320129395</v>
      </c>
      <c r="C13" s="12">
        <v>1.4298700727522373E-2</v>
      </c>
      <c r="D13" s="12">
        <v>0.61684459447860718</v>
      </c>
      <c r="E13" s="12">
        <v>1.5854835510253906E-2</v>
      </c>
      <c r="F13" s="12">
        <v>0.39293476939201355</v>
      </c>
      <c r="G13" s="12">
        <v>1.0975247249007225E-2</v>
      </c>
      <c r="H13" s="12">
        <v>0.22526934742927551</v>
      </c>
      <c r="I13" s="12">
        <v>1.4337061904370785E-2</v>
      </c>
      <c r="J13" s="12">
        <v>0.55326461791992188</v>
      </c>
      <c r="K13" s="12">
        <v>2.0245879888534546E-2</v>
      </c>
      <c r="L13" s="12">
        <v>0.51315790414810181</v>
      </c>
      <c r="M13" s="12">
        <v>4.047393798828125E-2</v>
      </c>
      <c r="N13" s="12">
        <v>0.43146160244941711</v>
      </c>
      <c r="O13" s="12">
        <v>1.0426441207528114E-2</v>
      </c>
      <c r="P13" s="12">
        <v>0.26260161399841309</v>
      </c>
      <c r="Q13" s="12">
        <v>1.117619127035141E-2</v>
      </c>
      <c r="R13" s="12">
        <v>0.67435318231582642</v>
      </c>
      <c r="S13" s="12">
        <v>1.1397551745176315E-2</v>
      </c>
      <c r="T13" s="12">
        <v>0.47274401783943176</v>
      </c>
      <c r="U13" s="12">
        <v>6.6278446465730667E-3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13"/>
  <sheetViews>
    <sheetView workbookViewId="0">
      <selection activeCell="F24" sqref="F24"/>
    </sheetView>
  </sheetViews>
  <sheetFormatPr defaultColWidth="8.77734375" defaultRowHeight="14.4" x14ac:dyDescent="0.3"/>
  <sheetData>
    <row r="2" spans="1:21" x14ac:dyDescent="0.3">
      <c r="B2" t="s">
        <v>20</v>
      </c>
      <c r="D2" t="s">
        <v>21</v>
      </c>
      <c r="F2" t="s">
        <v>5</v>
      </c>
      <c r="H2" t="s">
        <v>4</v>
      </c>
      <c r="J2" t="s">
        <v>22</v>
      </c>
      <c r="L2" t="s">
        <v>23</v>
      </c>
      <c r="N2" t="s">
        <v>24</v>
      </c>
      <c r="P2" t="s">
        <v>25</v>
      </c>
      <c r="R2" t="s">
        <v>26</v>
      </c>
      <c r="T2" t="s">
        <v>27</v>
      </c>
    </row>
    <row r="3" spans="1:21" x14ac:dyDescent="0.3">
      <c r="A3">
        <v>2003</v>
      </c>
    </row>
    <row r="4" spans="1:21" x14ac:dyDescent="0.3">
      <c r="A4">
        <v>2004</v>
      </c>
      <c r="B4" s="15">
        <v>0.30914369225502014</v>
      </c>
      <c r="C4" s="15">
        <v>6.8503748625516891E-3</v>
      </c>
      <c r="D4" s="15">
        <v>0.23715530335903168</v>
      </c>
      <c r="E4" s="15">
        <v>7.5416327454149723E-3</v>
      </c>
      <c r="F4" s="15">
        <v>0.23599418997764587</v>
      </c>
      <c r="G4" s="15">
        <v>7.5318459421396255E-3</v>
      </c>
      <c r="H4" s="15">
        <v>2.6705369353294373E-2</v>
      </c>
      <c r="I4" s="15">
        <v>2.8481096960604191E-3</v>
      </c>
      <c r="J4" s="15">
        <v>0.16690856218338013</v>
      </c>
      <c r="K4" s="15">
        <v>7.5416327454149723E-3</v>
      </c>
      <c r="L4" s="15">
        <v>2.0029027014970779E-2</v>
      </c>
      <c r="M4" s="15">
        <v>2.4236028548330069E-3</v>
      </c>
      <c r="N4" s="15">
        <v>0.402902752161026</v>
      </c>
      <c r="O4" s="15">
        <v>9.3314629048109055E-3</v>
      </c>
      <c r="P4" s="15">
        <v>5.0798259675502777E-2</v>
      </c>
      <c r="Q4" s="15">
        <v>3.6008981987833977E-3</v>
      </c>
      <c r="R4" s="15">
        <v>0.54629898071289063</v>
      </c>
      <c r="S4" s="15">
        <v>8.1173880025744438E-3</v>
      </c>
      <c r="T4" s="15">
        <v>0.41752514243125916</v>
      </c>
      <c r="U4" s="15">
        <v>5.5809663608670235E-3</v>
      </c>
    </row>
    <row r="5" spans="1:21" x14ac:dyDescent="0.3">
      <c r="A5">
        <v>2005</v>
      </c>
      <c r="B5" s="12">
        <v>0.30551853775978088</v>
      </c>
      <c r="C5" s="12">
        <v>7.2638220153748989E-3</v>
      </c>
      <c r="D5" s="12">
        <v>0.24313516914844513</v>
      </c>
      <c r="E5" s="12">
        <v>6.2802541069686413E-3</v>
      </c>
      <c r="F5" s="12">
        <v>0.21994134783744812</v>
      </c>
      <c r="G5" s="12">
        <v>5.5584772489964962E-3</v>
      </c>
      <c r="H5" s="12">
        <v>3.1458277255296707E-2</v>
      </c>
      <c r="I5" s="12">
        <v>2.6810939889401197E-3</v>
      </c>
      <c r="J5" s="12">
        <v>0.17302052676677704</v>
      </c>
      <c r="K5" s="12">
        <v>6.2802541069686413E-3</v>
      </c>
      <c r="L5" s="12">
        <v>2.0261263474822044E-2</v>
      </c>
      <c r="M5" s="12">
        <v>2.416717354208231E-3</v>
      </c>
      <c r="N5" s="12">
        <v>0.39296188950538635</v>
      </c>
      <c r="O5" s="12">
        <v>7.6569067314267159E-3</v>
      </c>
      <c r="P5" s="12">
        <v>5.8384429663419724E-2</v>
      </c>
      <c r="Q5" s="12">
        <v>3.1726411543786526E-3</v>
      </c>
      <c r="R5" s="12">
        <v>0.54865372180938721</v>
      </c>
      <c r="S5" s="12">
        <v>8.2459840923547745E-3</v>
      </c>
      <c r="T5" s="12">
        <v>0.42269551753997803</v>
      </c>
      <c r="U5" s="12">
        <v>6.2921149656176567E-3</v>
      </c>
    </row>
    <row r="6" spans="1:21" x14ac:dyDescent="0.3">
      <c r="A6">
        <v>2006</v>
      </c>
      <c r="B6" s="12">
        <v>0.31305518746376038</v>
      </c>
      <c r="C6" s="12">
        <v>8.2762092351913452E-3</v>
      </c>
      <c r="D6" s="12">
        <v>0.22476446628570557</v>
      </c>
      <c r="E6" s="12">
        <v>6.4384909346699715E-3</v>
      </c>
      <c r="F6" s="12">
        <v>0.2145356684923172</v>
      </c>
      <c r="G6" s="12">
        <v>6.4026433974504471E-3</v>
      </c>
      <c r="H6" s="12">
        <v>3.9569314569234848E-2</v>
      </c>
      <c r="I6" s="12">
        <v>3.1295786611735821E-3</v>
      </c>
      <c r="J6" s="12">
        <v>0.17900404334068298</v>
      </c>
      <c r="K6" s="12">
        <v>6.4384909346699715E-3</v>
      </c>
      <c r="L6" s="12">
        <v>2.3687751963734627E-2</v>
      </c>
      <c r="M6" s="12">
        <v>2.2405858617275953E-3</v>
      </c>
      <c r="N6" s="12">
        <v>0.39353969693183899</v>
      </c>
      <c r="O6" s="12">
        <v>7.3968758806586266E-3</v>
      </c>
      <c r="P6" s="12">
        <v>6.8640649318695068E-2</v>
      </c>
      <c r="Q6" s="12">
        <v>4.2736632749438286E-3</v>
      </c>
      <c r="R6" s="12">
        <v>0.53781962394714355</v>
      </c>
      <c r="S6" s="12">
        <v>7.8028817661106586E-3</v>
      </c>
      <c r="T6" s="12">
        <v>0.42244711518287659</v>
      </c>
      <c r="U6" s="12">
        <v>5.0164191052317619E-3</v>
      </c>
    </row>
    <row r="7" spans="1:21" x14ac:dyDescent="0.3">
      <c r="A7">
        <v>2007</v>
      </c>
      <c r="B7" s="12">
        <v>0.28996539115905762</v>
      </c>
      <c r="C7" s="12">
        <v>7.7822478488087654E-3</v>
      </c>
      <c r="D7" s="12">
        <v>0.20795847475528717</v>
      </c>
      <c r="E7" s="12">
        <v>8.2398336380720139E-3</v>
      </c>
      <c r="F7" s="12">
        <v>0.21660900115966797</v>
      </c>
      <c r="G7" s="12">
        <v>7.8872647136449814E-3</v>
      </c>
      <c r="H7" s="12">
        <v>5.3633216768503189E-2</v>
      </c>
      <c r="I7" s="12">
        <v>4.6385298483073711E-3</v>
      </c>
      <c r="J7" s="12">
        <v>0.20242214202880859</v>
      </c>
      <c r="K7" s="12">
        <v>8.2398336380720139E-3</v>
      </c>
      <c r="L7" s="12">
        <v>2.4913495406508446E-2</v>
      </c>
      <c r="M7" s="12">
        <v>2.6541727129369974E-3</v>
      </c>
      <c r="N7" s="12">
        <v>0.41903114318847656</v>
      </c>
      <c r="O7" s="12">
        <v>8.9527852833271027E-3</v>
      </c>
      <c r="P7" s="12">
        <v>8.3044983446598053E-2</v>
      </c>
      <c r="Q7" s="12">
        <v>5.2637024782598019E-3</v>
      </c>
      <c r="R7" s="12">
        <v>0.49792388081550598</v>
      </c>
      <c r="S7" s="12">
        <v>9.6240080893039703E-3</v>
      </c>
      <c r="T7" s="12">
        <v>0.4378124475479126</v>
      </c>
      <c r="U7" s="12">
        <v>6.1187129467725754E-3</v>
      </c>
    </row>
    <row r="8" spans="1:21" x14ac:dyDescent="0.3">
      <c r="A8">
        <v>2008</v>
      </c>
      <c r="B8" s="12">
        <v>0.28986385464668274</v>
      </c>
      <c r="C8" s="12">
        <v>7.4308165349066257E-3</v>
      </c>
      <c r="D8" s="12">
        <v>0.2308623343706131</v>
      </c>
      <c r="E8" s="12">
        <v>8.1409644335508347E-3</v>
      </c>
      <c r="F8" s="12">
        <v>0.2236006110906601</v>
      </c>
      <c r="G8" s="12">
        <v>6.9512841291725636E-3</v>
      </c>
      <c r="H8" s="12">
        <v>5.7186082005500793E-2</v>
      </c>
      <c r="I8" s="12">
        <v>4.1904347017407417E-3</v>
      </c>
      <c r="J8" s="12">
        <v>0.16671709716320038</v>
      </c>
      <c r="K8" s="12">
        <v>8.1409644335508347E-3</v>
      </c>
      <c r="L8" s="12">
        <v>2.7836611494421959E-2</v>
      </c>
      <c r="M8" s="12">
        <v>2.5611668825149536E-3</v>
      </c>
      <c r="N8" s="12">
        <v>0.39031770825386047</v>
      </c>
      <c r="O8" s="12">
        <v>7.8618563711643219E-3</v>
      </c>
      <c r="P8" s="12">
        <v>8.895612508058548E-2</v>
      </c>
      <c r="Q8" s="12">
        <v>5.1613375544548035E-3</v>
      </c>
      <c r="R8" s="12">
        <v>0.52072614431381226</v>
      </c>
      <c r="S8" s="12">
        <v>8.504822850227356E-3</v>
      </c>
      <c r="T8" s="12">
        <v>0.4426734447479248</v>
      </c>
      <c r="U8" s="12">
        <v>5.0613465718924999E-3</v>
      </c>
    </row>
    <row r="9" spans="1:21" x14ac:dyDescent="0.3">
      <c r="A9">
        <v>2009</v>
      </c>
      <c r="B9" s="12">
        <v>0.26991808414459229</v>
      </c>
      <c r="C9" s="12">
        <v>9.9951345473527908E-3</v>
      </c>
      <c r="D9" s="12">
        <v>0.20104244351387024</v>
      </c>
      <c r="E9" s="12">
        <v>6.1972229741513729E-3</v>
      </c>
      <c r="F9" s="12">
        <v>0.28145942091941833</v>
      </c>
      <c r="G9" s="12">
        <v>8.875768631696701E-3</v>
      </c>
      <c r="H9" s="12">
        <v>7.4460163712501526E-2</v>
      </c>
      <c r="I9" s="12">
        <v>4.8892972990870476E-3</v>
      </c>
      <c r="J9" s="12">
        <v>0.14556962251663208</v>
      </c>
      <c r="K9" s="12">
        <v>6.1972229741513729E-3</v>
      </c>
      <c r="L9" s="12">
        <v>2.3082651197910309E-2</v>
      </c>
      <c r="M9" s="12">
        <v>3.0215736478567123E-3</v>
      </c>
      <c r="N9" s="12">
        <v>0.42702904343605042</v>
      </c>
      <c r="O9" s="12">
        <v>9.6755363047122955E-3</v>
      </c>
      <c r="P9" s="12">
        <v>0.10201042145490646</v>
      </c>
      <c r="Q9" s="12">
        <v>5.3512970916926861E-3</v>
      </c>
      <c r="R9" s="12">
        <v>0.47096052765846252</v>
      </c>
      <c r="S9" s="12">
        <v>1.1143972165882587E-2</v>
      </c>
      <c r="T9" s="12">
        <v>0.44477561116218567</v>
      </c>
      <c r="U9" s="12">
        <v>7.7092000283300877E-3</v>
      </c>
    </row>
    <row r="10" spans="1:21" x14ac:dyDescent="0.3">
      <c r="A10">
        <v>2010</v>
      </c>
      <c r="B10" s="12">
        <v>0.2686750590801239</v>
      </c>
      <c r="C10" s="12">
        <v>8.0303279682993889E-3</v>
      </c>
      <c r="D10" s="12">
        <v>0.21088226139545441</v>
      </c>
      <c r="E10" s="12">
        <v>6.1171306297183037E-3</v>
      </c>
      <c r="F10" s="12">
        <v>0.26283431053161621</v>
      </c>
      <c r="G10" s="12">
        <v>7.8950980678200722E-3</v>
      </c>
      <c r="H10" s="12">
        <v>7.2241008281707764E-2</v>
      </c>
      <c r="I10" s="12">
        <v>4.1980212554335594E-3</v>
      </c>
      <c r="J10" s="12">
        <v>0.16108207404613495</v>
      </c>
      <c r="K10" s="12">
        <v>6.1171306297183037E-3</v>
      </c>
      <c r="L10" s="12">
        <v>2.2748231887817383E-2</v>
      </c>
      <c r="M10" s="12">
        <v>2.4841753765940666E-3</v>
      </c>
      <c r="N10" s="12">
        <v>0.42391639947891235</v>
      </c>
      <c r="O10" s="12">
        <v>8.2352748140692711E-3</v>
      </c>
      <c r="P10" s="12">
        <v>9.6526280045509338E-2</v>
      </c>
      <c r="Q10" s="12">
        <v>5.5532217957079411E-3</v>
      </c>
      <c r="R10" s="12">
        <v>0.4795573353767395</v>
      </c>
      <c r="S10" s="12">
        <v>8.2202805206179619E-3</v>
      </c>
      <c r="T10" s="12">
        <v>0.45720309019088745</v>
      </c>
      <c r="U10" s="12">
        <v>5.9487628750503063E-3</v>
      </c>
    </row>
    <row r="11" spans="1:21" x14ac:dyDescent="0.3">
      <c r="A11">
        <v>2011</v>
      </c>
      <c r="B11" s="12">
        <v>0.27065026760101318</v>
      </c>
      <c r="C11" s="12">
        <v>8.5900770500302315E-3</v>
      </c>
      <c r="D11" s="12">
        <v>0.21616871654987335</v>
      </c>
      <c r="E11" s="12">
        <v>7.2925519198179245E-3</v>
      </c>
      <c r="F11" s="12">
        <v>0.25623902678489685</v>
      </c>
      <c r="G11" s="12">
        <v>7.803378626704216E-3</v>
      </c>
      <c r="H11" s="12">
        <v>7.0650264620780945E-2</v>
      </c>
      <c r="I11" s="12">
        <v>4.6007423661649227E-3</v>
      </c>
      <c r="J11" s="12">
        <v>0.1560632735490799</v>
      </c>
      <c r="K11" s="12">
        <v>7.2925519198179245E-3</v>
      </c>
      <c r="L11" s="12">
        <v>2.5307556614279747E-2</v>
      </c>
      <c r="M11" s="12">
        <v>2.8440237510949373E-3</v>
      </c>
      <c r="N11" s="12">
        <v>0.41230228543281555</v>
      </c>
      <c r="O11" s="12">
        <v>9.9872583523392677E-3</v>
      </c>
      <c r="P11" s="12">
        <v>0.10087873786687851</v>
      </c>
      <c r="Q11" s="12">
        <v>6.3342805951833725E-3</v>
      </c>
      <c r="R11" s="12">
        <v>0.48681896924972534</v>
      </c>
      <c r="S11" s="12">
        <v>8.597223088145256E-3</v>
      </c>
      <c r="T11" s="12">
        <v>0.45732197165489197</v>
      </c>
      <c r="U11" s="12">
        <v>6.0752886347472668E-3</v>
      </c>
    </row>
    <row r="12" spans="1:21" x14ac:dyDescent="0.3">
      <c r="A12">
        <v>2012</v>
      </c>
      <c r="B12" s="12">
        <v>0.27084872126579285</v>
      </c>
      <c r="C12" s="12">
        <v>7.2769462130963802E-3</v>
      </c>
      <c r="D12" s="12">
        <v>0.23284132778644562</v>
      </c>
      <c r="E12" s="12">
        <v>9.4121480360627174E-3</v>
      </c>
      <c r="F12" s="12">
        <v>0.24981549382209778</v>
      </c>
      <c r="G12" s="12">
        <v>8.5844090208411217E-3</v>
      </c>
      <c r="H12" s="12">
        <v>7.712177187204361E-2</v>
      </c>
      <c r="I12" s="12">
        <v>4.3268343433737755E-3</v>
      </c>
      <c r="J12" s="12">
        <v>0.14686347544193268</v>
      </c>
      <c r="K12" s="12">
        <v>9.4121480360627174E-3</v>
      </c>
      <c r="L12" s="12">
        <v>1.7712177708745003E-2</v>
      </c>
      <c r="M12" s="12">
        <v>2.2755982354283333E-3</v>
      </c>
      <c r="N12" s="12">
        <v>0.39667895436286926</v>
      </c>
      <c r="O12" s="12">
        <v>9.2602847144007683E-3</v>
      </c>
      <c r="P12" s="12">
        <v>9.9630996584892273E-2</v>
      </c>
      <c r="Q12" s="12">
        <v>5.2602533251047134E-3</v>
      </c>
      <c r="R12" s="12">
        <v>0.50369006395339966</v>
      </c>
      <c r="S12" s="12">
        <v>1.0814514942467213E-2</v>
      </c>
      <c r="T12" s="12">
        <v>0.46812921762466431</v>
      </c>
      <c r="U12" s="12">
        <v>6.9502890110015869E-3</v>
      </c>
    </row>
    <row r="13" spans="1:21" x14ac:dyDescent="0.3">
      <c r="A13">
        <v>2013</v>
      </c>
      <c r="B13" s="12">
        <v>0.2645111083984375</v>
      </c>
      <c r="C13" s="12">
        <v>8.113534189760685E-3</v>
      </c>
      <c r="D13" s="12">
        <v>0.20257109403610229</v>
      </c>
      <c r="E13" s="12">
        <v>8.2923509180545807E-3</v>
      </c>
      <c r="F13" s="12">
        <v>0.28165173530578613</v>
      </c>
      <c r="G13" s="12">
        <v>9.542916901409626E-3</v>
      </c>
      <c r="H13" s="12">
        <v>8.9598752558231354E-2</v>
      </c>
      <c r="I13" s="12">
        <v>6.1127105727791786E-3</v>
      </c>
      <c r="J13" s="12">
        <v>0.12543825805187225</v>
      </c>
      <c r="K13" s="12">
        <v>8.2923509180545807E-3</v>
      </c>
      <c r="L13" s="12">
        <v>3.0385663732886314E-2</v>
      </c>
      <c r="M13" s="12">
        <v>3.1946015078574419E-3</v>
      </c>
      <c r="N13" s="12">
        <v>0.40708997845649719</v>
      </c>
      <c r="O13" s="12">
        <v>8.9454622939229012E-3</v>
      </c>
      <c r="P13" s="12">
        <v>0.12582781910896301</v>
      </c>
      <c r="Q13" s="12">
        <v>7.2472295723855495E-3</v>
      </c>
      <c r="R13" s="12">
        <v>0.46708220243453979</v>
      </c>
      <c r="S13" s="12">
        <v>1.008982490748167E-2</v>
      </c>
      <c r="T13" s="12">
        <v>0.47274401783943176</v>
      </c>
      <c r="U13" s="12">
        <v>7.5064534321427345E-3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13"/>
  <sheetViews>
    <sheetView workbookViewId="0">
      <selection activeCell="D22" sqref="D22"/>
    </sheetView>
  </sheetViews>
  <sheetFormatPr defaultColWidth="8.77734375" defaultRowHeight="14.4" x14ac:dyDescent="0.3"/>
  <sheetData>
    <row r="2" spans="1:21" x14ac:dyDescent="0.3">
      <c r="B2" t="s">
        <v>20</v>
      </c>
      <c r="D2" t="s">
        <v>21</v>
      </c>
      <c r="F2" t="s">
        <v>5</v>
      </c>
      <c r="H2" t="s">
        <v>4</v>
      </c>
      <c r="J2" t="s">
        <v>22</v>
      </c>
      <c r="L2" t="s">
        <v>23</v>
      </c>
      <c r="N2" t="s">
        <v>24</v>
      </c>
      <c r="P2" t="s">
        <v>25</v>
      </c>
      <c r="R2" t="s">
        <v>26</v>
      </c>
      <c r="T2" t="s">
        <v>27</v>
      </c>
    </row>
    <row r="3" spans="1:21" x14ac:dyDescent="0.3">
      <c r="A3">
        <v>2003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3">
      <c r="A4">
        <v>2004</v>
      </c>
      <c r="B4" s="15">
        <v>0.16708281636238098</v>
      </c>
      <c r="C4" s="15">
        <v>5.088521633297205E-3</v>
      </c>
      <c r="D4" s="15">
        <v>0.135247603058815</v>
      </c>
      <c r="E4" s="15">
        <v>4.6551376581192017E-3</v>
      </c>
      <c r="F4" s="15">
        <v>0.32459425926208496</v>
      </c>
      <c r="G4" s="15">
        <v>6.7830504849553108E-3</v>
      </c>
      <c r="H4" s="15">
        <v>0.15792758762836456</v>
      </c>
      <c r="I4" s="15">
        <v>5.255961325019598E-3</v>
      </c>
      <c r="J4" s="15">
        <v>0.16084061563014984</v>
      </c>
      <c r="K4" s="15">
        <v>5.4199397563934326E-3</v>
      </c>
      <c r="L4" s="15">
        <v>4.6192258596420288E-2</v>
      </c>
      <c r="M4" s="15">
        <v>3.0316261108964682E-3</v>
      </c>
      <c r="N4" s="15">
        <v>0.48543485999107361</v>
      </c>
      <c r="O4" s="15">
        <v>6.9931736215949059E-3</v>
      </c>
      <c r="P4" s="15">
        <v>0.21223470568656921</v>
      </c>
      <c r="Q4" s="15">
        <v>6.1004268936812878E-3</v>
      </c>
      <c r="R4" s="15">
        <v>0.30233043432235718</v>
      </c>
      <c r="S4" s="15">
        <v>6.5025934018194675E-3</v>
      </c>
      <c r="T4" s="15">
        <v>0.58247482776641846</v>
      </c>
      <c r="U4" s="15">
        <v>5.5216564796864986E-3</v>
      </c>
    </row>
    <row r="5" spans="1:21" x14ac:dyDescent="0.3">
      <c r="A5">
        <v>2005</v>
      </c>
      <c r="B5" s="12">
        <v>0.17177435755729675</v>
      </c>
      <c r="C5" s="12">
        <v>4.9804216250777245E-3</v>
      </c>
      <c r="D5" s="12">
        <v>0.14952176809310913</v>
      </c>
      <c r="E5" s="12">
        <v>5.3989719599485397E-3</v>
      </c>
      <c r="F5" s="12">
        <v>0.30860823392868042</v>
      </c>
      <c r="G5" s="12">
        <v>6.1579537577927113E-3</v>
      </c>
      <c r="H5" s="12">
        <v>0.1512785404920578</v>
      </c>
      <c r="I5" s="12">
        <v>5.041404627263546E-3</v>
      </c>
      <c r="J5" s="12">
        <v>0.16474722325801849</v>
      </c>
      <c r="K5" s="12">
        <v>5.4615084081888199E-3</v>
      </c>
      <c r="L5" s="12">
        <v>4.4114775955677032E-2</v>
      </c>
      <c r="M5" s="12">
        <v>2.6413227897137403E-3</v>
      </c>
      <c r="N5" s="12">
        <v>0.47335544228553772</v>
      </c>
      <c r="O5" s="12">
        <v>5.9808297082781792E-3</v>
      </c>
      <c r="P5" s="12">
        <v>0.2053484320640564</v>
      </c>
      <c r="Q5" s="12">
        <v>5.5659627541899681E-3</v>
      </c>
      <c r="R5" s="12">
        <v>0.32129612565040588</v>
      </c>
      <c r="S5" s="12">
        <v>6.4538442529737949E-3</v>
      </c>
      <c r="T5" s="12">
        <v>0.57730448246002197</v>
      </c>
      <c r="U5" s="12">
        <v>4.7706342302262783E-3</v>
      </c>
    </row>
    <row r="6" spans="1:21" x14ac:dyDescent="0.3">
      <c r="A6">
        <v>2006</v>
      </c>
      <c r="B6" s="12">
        <v>0.1525890976190567</v>
      </c>
      <c r="C6" s="12">
        <v>5.3021712228655815E-3</v>
      </c>
      <c r="D6" s="12">
        <v>0.13447529077529907</v>
      </c>
      <c r="E6" s="12">
        <v>5.4347561672329903E-3</v>
      </c>
      <c r="F6" s="12">
        <v>0.31108486652374268</v>
      </c>
      <c r="G6" s="12">
        <v>6.3752052374184132E-3</v>
      </c>
      <c r="H6" s="12">
        <v>0.18940736353397369</v>
      </c>
      <c r="I6" s="12">
        <v>4.8654172569513321E-3</v>
      </c>
      <c r="J6" s="12">
        <v>0.15711754560470581</v>
      </c>
      <c r="K6" s="12">
        <v>4.9835573881864548E-3</v>
      </c>
      <c r="L6" s="12">
        <v>4.5087616890668869E-2</v>
      </c>
      <c r="M6" s="12">
        <v>2.8808952774852514E-3</v>
      </c>
      <c r="N6" s="12">
        <v>0.46820241212844849</v>
      </c>
      <c r="O6" s="12">
        <v>6.7190476693212986E-3</v>
      </c>
      <c r="P6" s="12">
        <v>0.24473321437835693</v>
      </c>
      <c r="Q6" s="12">
        <v>6.2410719692707062E-3</v>
      </c>
      <c r="R6" s="12">
        <v>0.28706437349319458</v>
      </c>
      <c r="S6" s="12">
        <v>6.3832118175923824E-3</v>
      </c>
      <c r="T6" s="12">
        <v>0.57755285501480103</v>
      </c>
      <c r="U6" s="12">
        <v>5.4439064115285873E-3</v>
      </c>
    </row>
    <row r="7" spans="1:21" x14ac:dyDescent="0.3">
      <c r="A7">
        <v>2007</v>
      </c>
      <c r="B7" s="12">
        <v>0.13230934739112854</v>
      </c>
      <c r="C7" s="12">
        <v>5.8266795240342617E-3</v>
      </c>
      <c r="D7" s="12">
        <v>0.11317703872919083</v>
      </c>
      <c r="E7" s="12">
        <v>5.9249792248010635E-3</v>
      </c>
      <c r="F7" s="12">
        <v>0.29668551683425903</v>
      </c>
      <c r="G7" s="12">
        <v>7.8816590830683708E-3</v>
      </c>
      <c r="H7" s="12">
        <v>0.24171382188796997</v>
      </c>
      <c r="I7" s="12">
        <v>6.1064385809004307E-3</v>
      </c>
      <c r="J7" s="12">
        <v>0.16060361266136169</v>
      </c>
      <c r="K7" s="12">
        <v>6.5276413224637508E-3</v>
      </c>
      <c r="L7" s="12">
        <v>4.2845595628023148E-2</v>
      </c>
      <c r="M7" s="12">
        <v>3.1847408972680569E-3</v>
      </c>
      <c r="N7" s="12">
        <v>0.45728912949562073</v>
      </c>
      <c r="O7" s="12">
        <v>9.2627415433526039E-3</v>
      </c>
      <c r="P7" s="12">
        <v>0.29722446203231812</v>
      </c>
      <c r="Q7" s="12">
        <v>7.0166299119591713E-3</v>
      </c>
      <c r="R7" s="12">
        <v>0.24548639357089996</v>
      </c>
      <c r="S7" s="12">
        <v>7.6585062779486179E-3</v>
      </c>
      <c r="T7" s="12">
        <v>0.5621875524520874</v>
      </c>
      <c r="U7" s="12">
        <v>5.5494490079581738E-3</v>
      </c>
    </row>
    <row r="8" spans="1:21" x14ac:dyDescent="0.3">
      <c r="A8">
        <v>2008</v>
      </c>
      <c r="B8" s="12">
        <v>0.13386204838752747</v>
      </c>
      <c r="C8" s="12">
        <v>5.5580278858542442E-3</v>
      </c>
      <c r="D8" s="12">
        <v>0.14635904133319855</v>
      </c>
      <c r="E8" s="12">
        <v>5.8553586713969707E-3</v>
      </c>
      <c r="F8" s="12">
        <v>0.3020908534526825</v>
      </c>
      <c r="G8" s="12">
        <v>6.6868364810943604E-3</v>
      </c>
      <c r="H8" s="12">
        <v>0.23311704397201538</v>
      </c>
      <c r="I8" s="12">
        <v>6.256206426769495E-3</v>
      </c>
      <c r="J8" s="12">
        <v>0.13482336699962616</v>
      </c>
      <c r="K8" s="12">
        <v>4.7527225688099861E-3</v>
      </c>
      <c r="L8" s="12">
        <v>3.9653930813074112E-2</v>
      </c>
      <c r="M8" s="12">
        <v>3.348589176312089E-3</v>
      </c>
      <c r="N8" s="12">
        <v>0.43691420555114746</v>
      </c>
      <c r="O8" s="12">
        <v>7.5744041241705418E-3</v>
      </c>
      <c r="P8" s="12">
        <v>0.28286468982696533</v>
      </c>
      <c r="Q8" s="12">
        <v>7.1027963422238827E-3</v>
      </c>
      <c r="R8" s="12">
        <v>0.28022110462188721</v>
      </c>
      <c r="S8" s="12">
        <v>6.6320952028036118E-3</v>
      </c>
      <c r="T8" s="12">
        <v>0.5573265552520752</v>
      </c>
      <c r="U8" s="12">
        <v>5.2287718281149864E-3</v>
      </c>
    </row>
    <row r="9" spans="1:21" x14ac:dyDescent="0.3">
      <c r="A9">
        <v>2009</v>
      </c>
      <c r="B9" s="12">
        <v>0.1052788570523262</v>
      </c>
      <c r="C9" s="12">
        <v>5.3712748922407627E-3</v>
      </c>
      <c r="D9" s="12">
        <v>0.11064717918634415</v>
      </c>
      <c r="E9" s="12">
        <v>5.0304131582379341E-3</v>
      </c>
      <c r="F9" s="12">
        <v>0.37488815188407898</v>
      </c>
      <c r="G9" s="12">
        <v>8.0791795626282692E-3</v>
      </c>
      <c r="H9" s="12">
        <v>0.24724127352237701</v>
      </c>
      <c r="I9" s="12">
        <v>7.5608785264194012E-3</v>
      </c>
      <c r="J9" s="12">
        <v>0.1118401437997818</v>
      </c>
      <c r="K9" s="12">
        <v>6.1151217669248581E-3</v>
      </c>
      <c r="L9" s="12">
        <v>3.8473010063171387E-2</v>
      </c>
      <c r="M9" s="12">
        <v>3.2257277052849531E-3</v>
      </c>
      <c r="N9" s="12">
        <v>0.48672831058502197</v>
      </c>
      <c r="O9" s="12">
        <v>9.5340898260474205E-3</v>
      </c>
      <c r="P9" s="12">
        <v>0.29734566807746887</v>
      </c>
      <c r="Q9" s="12">
        <v>7.6260189525783062E-3</v>
      </c>
      <c r="R9" s="12">
        <v>0.21592603623867035</v>
      </c>
      <c r="S9" s="12">
        <v>7.0883301086723804E-3</v>
      </c>
      <c r="T9" s="12">
        <v>0.55522435903549194</v>
      </c>
      <c r="U9" s="12">
        <v>6.1574308201670647E-3</v>
      </c>
    </row>
    <row r="10" spans="1:21" x14ac:dyDescent="0.3">
      <c r="A10">
        <v>2010</v>
      </c>
      <c r="B10" s="12">
        <v>0.10901087522506714</v>
      </c>
      <c r="C10" s="12">
        <v>5.0948620773851871E-3</v>
      </c>
      <c r="D10" s="12">
        <v>0.12558260560035706</v>
      </c>
      <c r="E10" s="12">
        <v>5.4209465160965919E-3</v>
      </c>
      <c r="F10" s="12">
        <v>0.3658725917339325</v>
      </c>
      <c r="G10" s="12">
        <v>7.8539373353123665E-3</v>
      </c>
      <c r="H10" s="12">
        <v>0.25427240133285522</v>
      </c>
      <c r="I10" s="12">
        <v>7.4072582647204399E-3</v>
      </c>
      <c r="J10" s="12">
        <v>0.11367167532444</v>
      </c>
      <c r="K10" s="12">
        <v>4.8457784578204155E-3</v>
      </c>
      <c r="L10" s="12">
        <v>2.5634385645389557E-2</v>
      </c>
      <c r="M10" s="12">
        <v>2.4789599701762199E-3</v>
      </c>
      <c r="N10" s="12">
        <v>0.47954428195953369</v>
      </c>
      <c r="O10" s="12">
        <v>7.2201211005449295E-3</v>
      </c>
      <c r="P10" s="12">
        <v>0.28586223721504211</v>
      </c>
      <c r="Q10" s="12">
        <v>7.2674364782869816E-3</v>
      </c>
      <c r="R10" s="12">
        <v>0.23459348082542419</v>
      </c>
      <c r="S10" s="12">
        <v>7.2202975861728191E-3</v>
      </c>
      <c r="T10" s="12">
        <v>0.54279690980911255</v>
      </c>
      <c r="U10" s="12">
        <v>5.3056408651173115E-3</v>
      </c>
    </row>
    <row r="11" spans="1:21" x14ac:dyDescent="0.3">
      <c r="A11">
        <v>2011</v>
      </c>
      <c r="B11" s="12">
        <v>0.11078198999166489</v>
      </c>
      <c r="C11" s="12">
        <v>5.7715540751814842E-3</v>
      </c>
      <c r="D11" s="12">
        <v>0.13181279599666595</v>
      </c>
      <c r="E11" s="12">
        <v>6.3511035405099392E-3</v>
      </c>
      <c r="F11" s="12">
        <v>0.35811612010002136</v>
      </c>
      <c r="G11" s="12">
        <v>7.6988115906715393E-3</v>
      </c>
      <c r="H11" s="12">
        <v>0.23904028534889221</v>
      </c>
      <c r="I11" s="12">
        <v>7.6953461393713951E-3</v>
      </c>
      <c r="J11" s="12">
        <v>0.11581753194332123</v>
      </c>
      <c r="K11" s="12">
        <v>5.394957959651947E-3</v>
      </c>
      <c r="L11" s="12">
        <v>2.9620852321386337E-2</v>
      </c>
      <c r="M11" s="12">
        <v>3.4676147624850273E-3</v>
      </c>
      <c r="N11" s="12">
        <v>0.4739336371421814</v>
      </c>
      <c r="O11" s="12">
        <v>8.378281258046627E-3</v>
      </c>
      <c r="P11" s="12">
        <v>0.28347155451774597</v>
      </c>
      <c r="Q11" s="12">
        <v>7.4867871589958668E-3</v>
      </c>
      <c r="R11" s="12">
        <v>0.24259479343891144</v>
      </c>
      <c r="S11" s="12">
        <v>6.5808729268610477E-3</v>
      </c>
      <c r="T11" s="12">
        <v>0.54267799854278564</v>
      </c>
      <c r="U11" s="12">
        <v>6.1398688703775406E-3</v>
      </c>
    </row>
    <row r="12" spans="1:21" x14ac:dyDescent="0.3">
      <c r="A12">
        <v>2012</v>
      </c>
      <c r="B12" s="12">
        <v>0.11399804800748825</v>
      </c>
      <c r="C12" s="12">
        <v>5.8364542201161385E-3</v>
      </c>
      <c r="D12" s="12">
        <v>0.1399805098772049</v>
      </c>
      <c r="E12" s="12">
        <v>6.144100334495306E-3</v>
      </c>
      <c r="F12" s="12">
        <v>0.34816497564315796</v>
      </c>
      <c r="G12" s="12">
        <v>9.1113774105906487E-3</v>
      </c>
      <c r="H12" s="12">
        <v>0.25625202059745789</v>
      </c>
      <c r="I12" s="12">
        <v>7.7057876624166965E-3</v>
      </c>
      <c r="J12" s="12">
        <v>0.10068204253911972</v>
      </c>
      <c r="K12" s="12">
        <v>5.1678009331226349E-3</v>
      </c>
      <c r="L12" s="12">
        <v>2.7281584218144417E-2</v>
      </c>
      <c r="M12" s="12">
        <v>2.6265897322446108E-3</v>
      </c>
      <c r="N12" s="12">
        <v>0.44884702563285828</v>
      </c>
      <c r="O12" s="12">
        <v>8.412129245698452E-3</v>
      </c>
      <c r="P12" s="12">
        <v>0.29717439413070679</v>
      </c>
      <c r="Q12" s="12">
        <v>8.6100613698363304E-3</v>
      </c>
      <c r="R12" s="12">
        <v>0.25397855043411255</v>
      </c>
      <c r="S12" s="12">
        <v>8.263247087597847E-3</v>
      </c>
      <c r="T12" s="12">
        <v>0.53187078237533569</v>
      </c>
      <c r="U12" s="12">
        <v>5.8245034888386726E-3</v>
      </c>
    </row>
    <row r="13" spans="1:21" x14ac:dyDescent="0.3">
      <c r="A13">
        <v>2013</v>
      </c>
      <c r="B13" s="12">
        <v>8.941669762134552E-2</v>
      </c>
      <c r="C13" s="12">
        <v>5.0377519801259041E-3</v>
      </c>
      <c r="D13" s="12">
        <v>0.11281871795654297</v>
      </c>
      <c r="E13" s="12">
        <v>6.3056107610464096E-3</v>
      </c>
      <c r="F13" s="12">
        <v>0.39015018939971924</v>
      </c>
      <c r="G13" s="12">
        <v>1.0414961725473404E-2</v>
      </c>
      <c r="H13" s="12">
        <v>0.2762836217880249</v>
      </c>
      <c r="I13" s="12">
        <v>8.4179136902093887E-3</v>
      </c>
      <c r="J13" s="12">
        <v>9.0813830494880676E-2</v>
      </c>
      <c r="K13" s="12">
        <v>5.0493152812123299E-3</v>
      </c>
      <c r="L13" s="12">
        <v>2.5847014039754868E-2</v>
      </c>
      <c r="M13" s="12">
        <v>3.3037362154573202E-3</v>
      </c>
      <c r="N13" s="12">
        <v>0.48096403479576111</v>
      </c>
      <c r="O13" s="12">
        <v>9.1457962989807129E-3</v>
      </c>
      <c r="P13" s="12">
        <v>0.3168005645275116</v>
      </c>
      <c r="Q13" s="12">
        <v>8.0548981204628944E-3</v>
      </c>
      <c r="R13" s="12">
        <v>0.20223541557788849</v>
      </c>
      <c r="S13" s="12">
        <v>7.6195863075554371E-3</v>
      </c>
      <c r="T13" s="12">
        <v>0.52725601196289063</v>
      </c>
      <c r="U13" s="12">
        <v>6.7647155374288559E-3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19"/>
  <sheetViews>
    <sheetView workbookViewId="0">
      <selection activeCell="D16" sqref="D16"/>
    </sheetView>
  </sheetViews>
  <sheetFormatPr defaultColWidth="8.77734375" defaultRowHeight="14.4" x14ac:dyDescent="0.3"/>
  <sheetData>
    <row r="1" spans="1:62" x14ac:dyDescent="0.3">
      <c r="C1" s="21" t="s">
        <v>9</v>
      </c>
      <c r="D1" s="21"/>
      <c r="E1" s="21"/>
      <c r="F1" s="21"/>
      <c r="G1" s="21"/>
      <c r="H1" s="2"/>
      <c r="I1" s="2"/>
      <c r="J1" s="21" t="s">
        <v>10</v>
      </c>
      <c r="K1" s="21"/>
      <c r="L1" s="21"/>
      <c r="M1" s="21"/>
      <c r="N1" s="21"/>
      <c r="O1" s="2"/>
      <c r="P1" s="2"/>
      <c r="Q1" s="21" t="s">
        <v>14</v>
      </c>
      <c r="R1" s="21"/>
      <c r="S1" s="21"/>
      <c r="T1" s="21"/>
      <c r="U1" s="21"/>
      <c r="V1" s="2"/>
      <c r="W1" s="2"/>
      <c r="X1" s="2"/>
      <c r="Y1" s="21" t="s">
        <v>18</v>
      </c>
      <c r="Z1" s="21"/>
      <c r="AA1" s="21"/>
      <c r="AB1" s="21"/>
      <c r="AC1" s="21"/>
      <c r="AD1" s="2"/>
      <c r="AF1" s="21" t="s">
        <v>0</v>
      </c>
      <c r="AG1" s="21"/>
      <c r="AH1" s="21"/>
      <c r="AI1" s="2"/>
      <c r="AK1" s="21" t="s">
        <v>19</v>
      </c>
      <c r="AL1" s="21"/>
      <c r="AM1" s="21"/>
      <c r="AN1" s="2"/>
      <c r="AP1" s="21" t="s">
        <v>28</v>
      </c>
      <c r="AQ1" s="21"/>
      <c r="AR1" s="21"/>
      <c r="AS1" s="2"/>
      <c r="AU1" t="s">
        <v>36</v>
      </c>
      <c r="AZ1" s="22" t="s">
        <v>18</v>
      </c>
      <c r="BA1" s="21"/>
      <c r="BB1" s="21"/>
      <c r="BD1" s="21"/>
      <c r="BE1" s="21"/>
      <c r="BF1" s="21"/>
      <c r="BH1" s="21"/>
      <c r="BI1" s="21"/>
      <c r="BJ1" s="21"/>
    </row>
    <row r="2" spans="1:62" x14ac:dyDescent="0.3">
      <c r="C2" t="s">
        <v>11</v>
      </c>
      <c r="E2" t="s">
        <v>12</v>
      </c>
      <c r="G2" t="s">
        <v>13</v>
      </c>
      <c r="J2" t="s">
        <v>11</v>
      </c>
      <c r="L2" t="s">
        <v>12</v>
      </c>
      <c r="N2" t="s">
        <v>13</v>
      </c>
      <c r="Q2" t="s">
        <v>11</v>
      </c>
      <c r="S2" t="s">
        <v>12</v>
      </c>
      <c r="U2" t="s">
        <v>13</v>
      </c>
      <c r="Y2" t="s">
        <v>15</v>
      </c>
      <c r="AA2" t="s">
        <v>16</v>
      </c>
      <c r="AC2" t="s">
        <v>17</v>
      </c>
      <c r="AF2" t="s">
        <v>12</v>
      </c>
      <c r="AH2" t="s">
        <v>13</v>
      </c>
      <c r="AK2" t="s">
        <v>12</v>
      </c>
      <c r="AM2" t="s">
        <v>13</v>
      </c>
      <c r="AP2" t="s">
        <v>12</v>
      </c>
      <c r="AR2" t="s">
        <v>13</v>
      </c>
      <c r="AU2" t="s">
        <v>37</v>
      </c>
      <c r="AW2" t="s">
        <v>38</v>
      </c>
      <c r="AZ2" s="4" t="s">
        <v>83</v>
      </c>
      <c r="BB2" s="4" t="s">
        <v>84</v>
      </c>
    </row>
    <row r="3" spans="1:62" x14ac:dyDescent="0.3">
      <c r="C3" s="5"/>
      <c r="D3" s="5"/>
      <c r="E3" s="5"/>
      <c r="F3" s="5"/>
      <c r="G3" s="5"/>
      <c r="H3" s="5"/>
      <c r="I3" s="6"/>
      <c r="J3" s="5"/>
      <c r="K3" s="5"/>
      <c r="L3" s="5"/>
      <c r="M3" s="5"/>
      <c r="N3" s="5"/>
      <c r="O3" s="5"/>
      <c r="P3" s="6"/>
      <c r="Q3" s="5"/>
      <c r="R3" s="5"/>
      <c r="S3" s="5"/>
      <c r="T3" s="5"/>
      <c r="U3" s="5"/>
      <c r="V3" s="5"/>
      <c r="W3" s="6"/>
      <c r="X3" s="6"/>
      <c r="Y3" s="5"/>
      <c r="Z3" s="5"/>
      <c r="AA3" s="5"/>
      <c r="AB3" s="5"/>
      <c r="AC3" s="5"/>
      <c r="AD3" s="5"/>
      <c r="AE3" s="6"/>
      <c r="AF3" s="5"/>
      <c r="AG3" s="5"/>
      <c r="AH3" s="5"/>
      <c r="AI3" s="5"/>
      <c r="AJ3" s="6"/>
      <c r="AK3" s="5"/>
      <c r="AL3" s="5"/>
      <c r="AM3" s="5"/>
      <c r="AN3" s="5"/>
      <c r="AO3" s="6"/>
      <c r="AP3" s="5"/>
      <c r="AQ3" s="5"/>
      <c r="AR3" s="5"/>
      <c r="AS3" s="5"/>
      <c r="AT3" s="6"/>
      <c r="AU3" s="5"/>
      <c r="AV3" s="5"/>
      <c r="AW3" s="5"/>
      <c r="AX3" s="5"/>
      <c r="AZ3" s="7"/>
      <c r="BA3" s="7"/>
      <c r="BB3" s="7"/>
      <c r="BC3" s="7"/>
    </row>
    <row r="4" spans="1:62" x14ac:dyDescent="0.3">
      <c r="A4">
        <v>2004</v>
      </c>
      <c r="C4" s="15">
        <v>0.69765454530715942</v>
      </c>
      <c r="D4" s="15">
        <v>1.571984589099884E-2</v>
      </c>
      <c r="E4" s="15">
        <v>0.63027101755142212</v>
      </c>
      <c r="F4" s="15">
        <v>5.8854170143604279E-2</v>
      </c>
      <c r="G4" s="15">
        <v>0.54533267021179199</v>
      </c>
      <c r="H4" s="15">
        <v>4.6145912259817123E-2</v>
      </c>
      <c r="I4" s="18"/>
      <c r="J4" s="15">
        <v>0.64238786697387695</v>
      </c>
      <c r="K4" s="15">
        <v>1.4562042430043221E-2</v>
      </c>
      <c r="L4" s="15">
        <v>0.61686503887176514</v>
      </c>
      <c r="M4" s="15">
        <v>6.8073108792304993E-2</v>
      </c>
      <c r="N4" s="15">
        <v>0.55320966243743896</v>
      </c>
      <c r="O4" s="15">
        <v>6.2930651009082794E-2</v>
      </c>
      <c r="P4" s="18"/>
      <c r="Q4" s="15">
        <v>0.67770826816558838</v>
      </c>
      <c r="R4" s="15">
        <v>1.1119096539914608E-2</v>
      </c>
      <c r="S4" s="15">
        <v>0.63208621740341187</v>
      </c>
      <c r="T4" s="15">
        <v>5.1278583705425262E-2</v>
      </c>
      <c r="U4" s="15">
        <v>0.52324551343917847</v>
      </c>
      <c r="V4" s="15">
        <v>3.734290599822998E-2</v>
      </c>
      <c r="W4" s="18"/>
      <c r="X4" s="18"/>
      <c r="Y4" s="15">
        <v>-0.13620235025882721</v>
      </c>
      <c r="Z4" s="15">
        <v>2.5100672617554665E-2</v>
      </c>
      <c r="AA4" s="15">
        <v>0.64307361841201782</v>
      </c>
      <c r="AB4" s="15">
        <v>1.8701370805501938E-2</v>
      </c>
      <c r="AC4" s="15">
        <v>0.56368404626846313</v>
      </c>
      <c r="AD4" s="15">
        <v>2.6447754353284836E-2</v>
      </c>
      <c r="AE4" s="18"/>
      <c r="AF4" s="15">
        <v>0.48946547508239746</v>
      </c>
      <c r="AG4" s="15">
        <v>0.14311729371547699</v>
      </c>
      <c r="AH4" s="15">
        <v>0.38926723599433899</v>
      </c>
      <c r="AI4" s="15">
        <v>0.11456333845853806</v>
      </c>
      <c r="AJ4" s="18"/>
      <c r="AK4" s="15">
        <v>4.9573667347431183E-2</v>
      </c>
      <c r="AL4" s="15">
        <v>6.6227465867996216E-2</v>
      </c>
      <c r="AM4" s="15">
        <v>5.6170213967561722E-2</v>
      </c>
      <c r="AN4" s="15">
        <v>5.1152318716049194E-2</v>
      </c>
      <c r="AO4" s="18"/>
      <c r="AP4" s="15">
        <v>4.3912127614021301E-2</v>
      </c>
      <c r="AQ4" s="15">
        <v>4.3274402618408203E-2</v>
      </c>
      <c r="AR4" s="15">
        <v>3.6819782108068466E-2</v>
      </c>
      <c r="AS4" s="15">
        <v>4.0029935538768768E-2</v>
      </c>
      <c r="AT4" s="18"/>
      <c r="AU4" s="15">
        <v>-0.34609508514404297</v>
      </c>
      <c r="AV4" s="15">
        <v>3.1425565481185913E-2</v>
      </c>
      <c r="AW4" s="15">
        <v>-0.39872086048126221</v>
      </c>
      <c r="AX4" s="15">
        <v>3.171241283416748E-2</v>
      </c>
      <c r="AY4" s="18"/>
      <c r="AZ4" s="19">
        <v>0.58566921949386597</v>
      </c>
      <c r="BA4" s="19">
        <v>1.2651000171899796E-2</v>
      </c>
      <c r="BB4" s="19">
        <v>0.50627964735031128</v>
      </c>
      <c r="BC4" s="19">
        <v>2.1719781681895256E-2</v>
      </c>
    </row>
    <row r="5" spans="1:62" x14ac:dyDescent="0.3">
      <c r="A5">
        <v>2005</v>
      </c>
      <c r="C5" s="12">
        <v>0.63215333223342896</v>
      </c>
      <c r="D5" s="12">
        <v>1.1833599768579006E-2</v>
      </c>
      <c r="E5" s="12">
        <v>0.5062861442565918</v>
      </c>
      <c r="F5" s="12">
        <v>6.3834406435489655E-2</v>
      </c>
      <c r="G5" s="12">
        <v>0.43180105090141296</v>
      </c>
      <c r="H5" s="12">
        <v>4.7917243093252182E-2</v>
      </c>
      <c r="I5" s="16"/>
      <c r="J5" s="12">
        <v>0.6381649374961853</v>
      </c>
      <c r="K5" s="12">
        <v>1.818891242146492E-2</v>
      </c>
      <c r="L5" s="12">
        <v>0.50171393156051636</v>
      </c>
      <c r="M5" s="12">
        <v>7.9227574169635773E-2</v>
      </c>
      <c r="N5" s="12">
        <v>0.4251038134098053</v>
      </c>
      <c r="O5" s="12">
        <v>6.7852333188056946E-2</v>
      </c>
      <c r="P5" s="16"/>
      <c r="Q5" s="12">
        <v>0.63515329360961914</v>
      </c>
      <c r="R5" s="12">
        <v>9.409220889210701E-3</v>
      </c>
      <c r="S5" s="12">
        <v>0.47343066334724426</v>
      </c>
      <c r="T5" s="12">
        <v>4.4589508324861526E-2</v>
      </c>
      <c r="U5" s="12">
        <v>0.40600612759590149</v>
      </c>
      <c r="V5" s="12">
        <v>3.7742748856544495E-2</v>
      </c>
      <c r="W5" s="16"/>
      <c r="X5" s="16"/>
      <c r="Y5" s="12">
        <v>-7.6589860022068024E-2</v>
      </c>
      <c r="Z5" s="12">
        <v>2.5129111483693123E-2</v>
      </c>
      <c r="AA5" s="12">
        <v>0.61262494325637817</v>
      </c>
      <c r="AB5" s="12">
        <v>1.4157311990857124E-2</v>
      </c>
      <c r="AC5" s="12">
        <v>0.65034002065658569</v>
      </c>
      <c r="AD5" s="12">
        <v>2.7501598000526428E-2</v>
      </c>
      <c r="AE5" s="16"/>
      <c r="AF5" s="12">
        <v>0.2346552312374115</v>
      </c>
      <c r="AG5" s="12">
        <v>0.10770256817340851</v>
      </c>
      <c r="AH5" s="12">
        <v>0.16080480813980103</v>
      </c>
      <c r="AI5" s="12">
        <v>0.1189519464969635</v>
      </c>
      <c r="AJ5" s="16"/>
      <c r="AK5" s="12">
        <v>0.109366774559021</v>
      </c>
      <c r="AL5" s="12">
        <v>4.6127956360578537E-2</v>
      </c>
      <c r="AM5" s="12">
        <v>9.8045818507671356E-2</v>
      </c>
      <c r="AN5" s="12">
        <v>5.9636101126670837E-2</v>
      </c>
      <c r="AO5" s="16"/>
      <c r="AP5" s="12">
        <v>-1.3533184304833412E-2</v>
      </c>
      <c r="AQ5" s="12">
        <v>3.8382131606340408E-2</v>
      </c>
      <c r="AR5" s="12">
        <v>-5.9262093156576157E-2</v>
      </c>
      <c r="AS5" s="12">
        <v>3.7185531109571457E-2</v>
      </c>
      <c r="AT5" s="16"/>
      <c r="AU5" s="12">
        <v>-0.26570296287536621</v>
      </c>
      <c r="AV5" s="12">
        <v>2.5840090587735176E-2</v>
      </c>
      <c r="AW5" s="12">
        <v>-0.29392156004905701</v>
      </c>
      <c r="AX5" s="12">
        <v>3.0575474724173546E-2</v>
      </c>
      <c r="AY5" s="16"/>
      <c r="AZ5" s="17">
        <v>0.58243089914321899</v>
      </c>
      <c r="BA5" s="17">
        <v>1.2091785669326782E-2</v>
      </c>
      <c r="BB5" s="17">
        <v>0.62014597654342651</v>
      </c>
      <c r="BC5" s="17">
        <v>2.3096036165952682E-2</v>
      </c>
    </row>
    <row r="6" spans="1:62" x14ac:dyDescent="0.3">
      <c r="A6">
        <v>2006</v>
      </c>
      <c r="C6" s="12">
        <v>0.64495843648910522</v>
      </c>
      <c r="D6" s="12">
        <v>1.4104908332228661E-2</v>
      </c>
      <c r="E6" s="12">
        <v>0.54732626676559448</v>
      </c>
      <c r="F6" s="12">
        <v>5.3548496216535568E-2</v>
      </c>
      <c r="G6" s="12">
        <v>0.46168488264083862</v>
      </c>
      <c r="H6" s="12">
        <v>4.7740165144205093E-2</v>
      </c>
      <c r="I6" s="16"/>
      <c r="J6" s="12">
        <v>0.5930485725402832</v>
      </c>
      <c r="K6" s="12">
        <v>1.6631253063678741E-2</v>
      </c>
      <c r="L6" s="12">
        <v>0.60999041795730591</v>
      </c>
      <c r="M6" s="12">
        <v>5.6734394282102585E-2</v>
      </c>
      <c r="N6" s="12">
        <v>0.50015228986740112</v>
      </c>
      <c r="O6" s="12">
        <v>5.7471282780170441E-2</v>
      </c>
      <c r="P6" s="16"/>
      <c r="Q6" s="12">
        <v>0.62146729230880737</v>
      </c>
      <c r="R6" s="12">
        <v>1.1511966586112976E-2</v>
      </c>
      <c r="S6" s="12">
        <v>0.5201839804649353</v>
      </c>
      <c r="T6" s="12">
        <v>4.313456267118454E-2</v>
      </c>
      <c r="U6" s="12">
        <v>0.45085245370864868</v>
      </c>
      <c r="V6" s="12">
        <v>3.2119538635015488E-2</v>
      </c>
      <c r="W6" s="16"/>
      <c r="X6" s="16"/>
      <c r="Y6" s="12">
        <v>-0.13841532170772552</v>
      </c>
      <c r="Z6" s="12">
        <v>2.2693425416946411E-2</v>
      </c>
      <c r="AA6" s="12">
        <v>0.5660356879234314</v>
      </c>
      <c r="AB6" s="12">
        <v>1.5331956557929516E-2</v>
      </c>
      <c r="AC6" s="12">
        <v>0.70487433671951294</v>
      </c>
      <c r="AD6" s="12">
        <v>2.6738617569208145E-2</v>
      </c>
      <c r="AE6" s="16"/>
      <c r="AF6" s="12">
        <v>0.2151045948266983</v>
      </c>
      <c r="AG6" s="12">
        <v>9.0195581316947937E-2</v>
      </c>
      <c r="AH6" s="12">
        <v>0.2544606626033783</v>
      </c>
      <c r="AI6" s="12">
        <v>0.11706312745809555</v>
      </c>
      <c r="AJ6" s="16"/>
      <c r="AK6" s="12">
        <v>-1.6298530623316765E-2</v>
      </c>
      <c r="AL6" s="12">
        <v>5.8523856103420258E-2</v>
      </c>
      <c r="AM6" s="12">
        <v>2.1201523020863533E-2</v>
      </c>
      <c r="AN6" s="12">
        <v>5.0710611045360565E-2</v>
      </c>
      <c r="AO6" s="16"/>
      <c r="AP6" s="12">
        <v>-6.7859210073947906E-2</v>
      </c>
      <c r="AQ6" s="12">
        <v>3.5283103585243225E-2</v>
      </c>
      <c r="AR6" s="12">
        <v>-7.1789339184761047E-2</v>
      </c>
      <c r="AS6" s="12">
        <v>3.5842083394527435E-2</v>
      </c>
      <c r="AT6" s="16"/>
      <c r="AU6" s="12">
        <v>-0.23183012008666992</v>
      </c>
      <c r="AV6" s="12">
        <v>2.4490168318152428E-2</v>
      </c>
      <c r="AW6" s="12">
        <v>-0.2767910361289978</v>
      </c>
      <c r="AX6" s="12">
        <v>2.6465779170393944E-2</v>
      </c>
      <c r="AY6" s="16"/>
      <c r="AZ6" s="17">
        <v>0.50197100639343262</v>
      </c>
      <c r="BA6" s="17">
        <v>1.156739704310894E-2</v>
      </c>
      <c r="BB6" s="17">
        <v>0.64080965518951416</v>
      </c>
      <c r="BC6" s="17">
        <v>2.5867771357297897E-2</v>
      </c>
    </row>
    <row r="7" spans="1:62" x14ac:dyDescent="0.3">
      <c r="A7">
        <v>2007</v>
      </c>
      <c r="C7" s="12">
        <v>0.57022327184677124</v>
      </c>
      <c r="D7" s="12">
        <v>1.6192147508263588E-2</v>
      </c>
      <c r="E7" s="12">
        <v>0.39707812666893005</v>
      </c>
      <c r="F7" s="12">
        <v>7.7728390693664551E-2</v>
      </c>
      <c r="G7" s="12">
        <v>0.32627448439598083</v>
      </c>
      <c r="H7" s="12">
        <v>5.7999379932880402E-2</v>
      </c>
      <c r="I7" s="16"/>
      <c r="J7" s="12">
        <v>0.59686779975891113</v>
      </c>
      <c r="K7" s="12">
        <v>1.7732132226228714E-2</v>
      </c>
      <c r="L7" s="12">
        <v>0.63847637176513672</v>
      </c>
      <c r="M7" s="12">
        <v>5.4265774786472321E-2</v>
      </c>
      <c r="N7" s="12">
        <v>0.49852624535560608</v>
      </c>
      <c r="O7" s="12">
        <v>5.8787580579519272E-2</v>
      </c>
      <c r="P7" s="16"/>
      <c r="Q7" s="12">
        <v>0.58062386512756348</v>
      </c>
      <c r="R7" s="12">
        <v>9.3476567417383194E-3</v>
      </c>
      <c r="S7" s="12">
        <v>0.48086836934089661</v>
      </c>
      <c r="T7" s="12">
        <v>4.3167058378458023E-2</v>
      </c>
      <c r="U7" s="12">
        <v>0.37490713596343994</v>
      </c>
      <c r="V7" s="12">
        <v>3.7731561809778214E-2</v>
      </c>
      <c r="W7" s="16"/>
      <c r="X7" s="16"/>
      <c r="Y7" s="12">
        <v>-0.12562750279903412</v>
      </c>
      <c r="Z7" s="12">
        <v>2.5137731805443764E-2</v>
      </c>
      <c r="AA7" s="12">
        <v>0.50791335105895996</v>
      </c>
      <c r="AB7" s="12">
        <v>1.6019843518733978E-2</v>
      </c>
      <c r="AC7" s="12">
        <v>0.69111526012420654</v>
      </c>
      <c r="AD7" s="12">
        <v>2.6806341484189034E-2</v>
      </c>
      <c r="AE7" s="16"/>
      <c r="AF7" s="12">
        <v>0.1903388500213623</v>
      </c>
      <c r="AG7" s="12">
        <v>0.12968456745147705</v>
      </c>
      <c r="AH7" s="12">
        <v>0.19114123284816742</v>
      </c>
      <c r="AI7" s="12">
        <v>0.11592258512973785</v>
      </c>
      <c r="AJ7" s="16"/>
      <c r="AK7" s="12">
        <v>4.3863914906978607E-2</v>
      </c>
      <c r="AL7" s="12">
        <v>6.0791280120611191E-2</v>
      </c>
      <c r="AM7" s="12">
        <v>4.1374310851097107E-2</v>
      </c>
      <c r="AN7" s="12">
        <v>7.1802228689193726E-2</v>
      </c>
      <c r="AO7" s="16"/>
      <c r="AP7" s="12">
        <v>-5.2781883627176285E-2</v>
      </c>
      <c r="AQ7" s="12">
        <v>4.1026435792446136E-2</v>
      </c>
      <c r="AR7" s="12">
        <v>-7.3908984661102295E-2</v>
      </c>
      <c r="AS7" s="12">
        <v>4.4697519391775131E-2</v>
      </c>
      <c r="AT7" s="16"/>
      <c r="AU7" s="12">
        <v>-0.25541281700134277</v>
      </c>
      <c r="AV7" s="12">
        <v>2.4676842615008354E-2</v>
      </c>
      <c r="AW7" s="12">
        <v>-0.25511655211448669</v>
      </c>
      <c r="AX7" s="12">
        <v>2.5478977710008621E-2</v>
      </c>
      <c r="AY7" s="16"/>
      <c r="AZ7" s="17">
        <v>0.44853585958480835</v>
      </c>
      <c r="BA7" s="17">
        <v>1.1745999567210674E-2</v>
      </c>
      <c r="BB7" s="17">
        <v>0.63173776865005493</v>
      </c>
      <c r="BC7" s="17">
        <v>3.1808022409677505E-2</v>
      </c>
    </row>
    <row r="8" spans="1:62" x14ac:dyDescent="0.3">
      <c r="A8">
        <v>2008</v>
      </c>
      <c r="C8" s="12">
        <v>0.60104542970657349</v>
      </c>
      <c r="D8" s="12">
        <v>1.6057418659329414E-2</v>
      </c>
      <c r="E8" s="12">
        <v>0.36809563636779785</v>
      </c>
      <c r="F8" s="12">
        <v>6.9299668073654175E-2</v>
      </c>
      <c r="G8" s="12">
        <v>0.27518582344055176</v>
      </c>
      <c r="H8" s="12">
        <v>4.9640361219644547E-2</v>
      </c>
      <c r="I8" s="16"/>
      <c r="J8" s="12">
        <v>0.61682039499282837</v>
      </c>
      <c r="K8" s="12">
        <v>1.7839955165982246E-2</v>
      </c>
      <c r="L8" s="12">
        <v>0.56169778108596802</v>
      </c>
      <c r="M8" s="12">
        <v>7.4166044592857361E-2</v>
      </c>
      <c r="N8" s="12">
        <v>0.4886508584022522</v>
      </c>
      <c r="O8" s="12">
        <v>5.4346658289432526E-2</v>
      </c>
      <c r="P8" s="16"/>
      <c r="Q8" s="12">
        <v>0.60478675365447998</v>
      </c>
      <c r="R8" s="12">
        <v>1.2798774056136608E-2</v>
      </c>
      <c r="S8" s="12">
        <v>0.44279089570045471</v>
      </c>
      <c r="T8" s="12">
        <v>5.0431635230779648E-2</v>
      </c>
      <c r="U8" s="12">
        <v>0.37927860021591187</v>
      </c>
      <c r="V8" s="12">
        <v>3.8707580417394638E-2</v>
      </c>
      <c r="W8" s="16"/>
      <c r="X8" s="16"/>
      <c r="Y8" s="12">
        <v>-0.10913556069135666</v>
      </c>
      <c r="Z8" s="12">
        <v>2.3264586925506592E-2</v>
      </c>
      <c r="AA8" s="12">
        <v>0.50528913736343384</v>
      </c>
      <c r="AB8" s="12">
        <v>1.4856547117233276E-2</v>
      </c>
      <c r="AC8" s="12">
        <v>0.7939983606338501</v>
      </c>
      <c r="AD8" s="12">
        <v>3.224591538310051E-2</v>
      </c>
      <c r="AE8" s="16"/>
      <c r="AF8" s="12">
        <v>0.3041016161441803</v>
      </c>
      <c r="AG8" s="12">
        <v>8.2672238349914551E-2</v>
      </c>
      <c r="AH8" s="12">
        <v>0.21879078447818756</v>
      </c>
      <c r="AI8" s="12">
        <v>0.10987068712711334</v>
      </c>
      <c r="AJ8" s="16"/>
      <c r="AK8" s="12">
        <v>-1.4240698888897896E-2</v>
      </c>
      <c r="AL8" s="12">
        <v>6.1746805906295776E-2</v>
      </c>
      <c r="AM8" s="12">
        <v>6.3403800129890442E-2</v>
      </c>
      <c r="AN8" s="12">
        <v>6.679902970790863E-2</v>
      </c>
      <c r="AO8" s="16"/>
      <c r="AP8" s="12">
        <v>-1.4258088544011116E-2</v>
      </c>
      <c r="AQ8" s="12">
        <v>4.2724553495645523E-2</v>
      </c>
      <c r="AR8" s="12">
        <v>3.1656775623559952E-2</v>
      </c>
      <c r="AS8" s="12">
        <v>5.61382956802845E-2</v>
      </c>
      <c r="AT8" s="16"/>
      <c r="AU8" s="12">
        <v>-0.14819097518920898</v>
      </c>
      <c r="AV8" s="12">
        <v>2.9554950073361397E-2</v>
      </c>
      <c r="AW8" s="12">
        <v>-0.17424643039703369</v>
      </c>
      <c r="AX8" s="12">
        <v>2.5933297351002693E-2</v>
      </c>
      <c r="AY8" s="16"/>
      <c r="AZ8" s="17">
        <v>0.45563822984695435</v>
      </c>
      <c r="BA8" s="17">
        <v>1.2285410426557064E-2</v>
      </c>
      <c r="BB8" s="17">
        <v>0.74434751272201538</v>
      </c>
      <c r="BC8" s="17">
        <v>2.5659406557679176E-2</v>
      </c>
    </row>
    <row r="9" spans="1:62" x14ac:dyDescent="0.3">
      <c r="A9">
        <v>2009</v>
      </c>
      <c r="C9" s="12">
        <v>0.63852870464324951</v>
      </c>
      <c r="D9" s="12">
        <v>1.8376933410763741E-2</v>
      </c>
      <c r="E9" s="12">
        <v>0.45811751484870911</v>
      </c>
      <c r="F9" s="12">
        <v>7.2566010057926178E-2</v>
      </c>
      <c r="G9" s="12">
        <v>0.37862226366996765</v>
      </c>
      <c r="H9" s="12">
        <v>6.7403249442577362E-2</v>
      </c>
      <c r="I9" s="16"/>
      <c r="J9" s="12">
        <v>0.55425947904586792</v>
      </c>
      <c r="K9" s="12">
        <v>1.2906222604215145E-2</v>
      </c>
      <c r="L9" s="12">
        <v>0.54322034120559692</v>
      </c>
      <c r="M9" s="12">
        <v>5.7818114757537842E-2</v>
      </c>
      <c r="N9" s="12">
        <v>0.541404128074646</v>
      </c>
      <c r="O9" s="12">
        <v>5.6078638881444931E-2</v>
      </c>
      <c r="P9" s="16"/>
      <c r="Q9" s="12">
        <v>0.58391553163528442</v>
      </c>
      <c r="R9" s="12">
        <v>1.1091409251093864E-2</v>
      </c>
      <c r="S9" s="12">
        <v>0.4333469569683075</v>
      </c>
      <c r="T9" s="12">
        <v>5.4650355130434036E-2</v>
      </c>
      <c r="U9" s="12">
        <v>0.40169996023178101</v>
      </c>
      <c r="V9" s="12">
        <v>3.8687039166688919E-2</v>
      </c>
      <c r="W9" s="16"/>
      <c r="X9" s="16"/>
      <c r="Y9" s="12">
        <v>-4.734313115477562E-2</v>
      </c>
      <c r="Z9" s="12">
        <v>2.4981606751680374E-2</v>
      </c>
      <c r="AA9" s="12">
        <v>0.55239737033843994</v>
      </c>
      <c r="AB9" s="12">
        <v>2.1684594452381134E-2</v>
      </c>
      <c r="AC9" s="12">
        <v>0.68907111883163452</v>
      </c>
      <c r="AD9" s="12">
        <v>3.6248508840799332E-2</v>
      </c>
      <c r="AE9" s="16"/>
      <c r="AF9" s="12">
        <v>0.17407214641571045</v>
      </c>
      <c r="AG9" s="12">
        <v>0.14148077368736267</v>
      </c>
      <c r="AH9" s="12">
        <v>0.21272681653499603</v>
      </c>
      <c r="AI9" s="12">
        <v>0.11208812147378922</v>
      </c>
      <c r="AJ9" s="16"/>
      <c r="AK9" s="12">
        <v>0.11626257747411728</v>
      </c>
      <c r="AL9" s="12">
        <v>8.8728189468383789E-2</v>
      </c>
      <c r="AM9" s="12">
        <v>0.14604203402996063</v>
      </c>
      <c r="AN9" s="12">
        <v>7.2324477136135101E-2</v>
      </c>
      <c r="AO9" s="16"/>
      <c r="AP9" s="12">
        <v>4.0911760181188583E-2</v>
      </c>
      <c r="AQ9" s="12">
        <v>5.8123543858528137E-2</v>
      </c>
      <c r="AR9" s="12">
        <v>6.8764813244342804E-2</v>
      </c>
      <c r="AS9" s="12">
        <v>6.3491217792034149E-2</v>
      </c>
      <c r="AT9" s="16"/>
      <c r="AU9" s="12">
        <v>-0.12724947929382324</v>
      </c>
      <c r="AV9" s="12">
        <v>3.7210885435342789E-2</v>
      </c>
      <c r="AW9" s="12">
        <v>-0.20835733413696289</v>
      </c>
      <c r="AX9" s="12">
        <v>2.7463208884000778E-2</v>
      </c>
      <c r="AY9" s="16"/>
      <c r="AZ9" s="17">
        <v>0.52479922771453857</v>
      </c>
      <c r="BA9" s="17">
        <v>1.3093610294163227E-2</v>
      </c>
      <c r="BB9" s="17">
        <v>0.66147291660308838</v>
      </c>
      <c r="BC9" s="17">
        <v>3.2475046813488007E-2</v>
      </c>
    </row>
    <row r="10" spans="1:62" x14ac:dyDescent="0.3">
      <c r="A10">
        <v>2010</v>
      </c>
      <c r="C10" s="12">
        <v>0.5453450083732605</v>
      </c>
      <c r="D10" s="12">
        <v>1.4046209864318371E-2</v>
      </c>
      <c r="E10" s="12">
        <v>0.53620219230651855</v>
      </c>
      <c r="F10" s="12">
        <v>0.16265712678432465</v>
      </c>
      <c r="G10" s="12">
        <v>0.35590198636054993</v>
      </c>
      <c r="H10" s="12">
        <v>7.2801977396011353E-2</v>
      </c>
      <c r="I10" s="16"/>
      <c r="J10" s="12">
        <v>0.55191683769226074</v>
      </c>
      <c r="K10" s="12">
        <v>1.0770177468657494E-2</v>
      </c>
      <c r="L10" s="12">
        <v>0.47179338335990906</v>
      </c>
      <c r="M10" s="12">
        <v>7.6403245329856873E-2</v>
      </c>
      <c r="N10" s="12">
        <v>0.45805495977401733</v>
      </c>
      <c r="O10" s="12">
        <v>5.6271672248840332E-2</v>
      </c>
      <c r="P10" s="16"/>
      <c r="Q10" s="12">
        <v>0.54469889402389526</v>
      </c>
      <c r="R10" s="12">
        <v>9.5635754987597466E-3</v>
      </c>
      <c r="S10" s="12">
        <v>0.48254930973052979</v>
      </c>
      <c r="T10" s="12">
        <v>8.3549700677394867E-2</v>
      </c>
      <c r="U10" s="12">
        <v>0.37190982699394226</v>
      </c>
      <c r="V10" s="12">
        <v>4.274304211139679E-2</v>
      </c>
      <c r="W10" s="16"/>
      <c r="X10" s="16"/>
      <c r="Y10" s="12">
        <v>3.4602299332618713E-2</v>
      </c>
      <c r="Z10" s="12">
        <v>2.7145566418766975E-2</v>
      </c>
      <c r="AA10" s="12">
        <v>0.37386530637741089</v>
      </c>
      <c r="AB10" s="12">
        <v>1.5519791282713413E-2</v>
      </c>
      <c r="AC10" s="12">
        <v>0.57801300287246704</v>
      </c>
      <c r="AD10" s="12">
        <v>2.9965296387672424E-2</v>
      </c>
      <c r="AE10" s="16"/>
      <c r="AF10" s="12">
        <v>0.19510626792907715</v>
      </c>
      <c r="AG10" s="12">
        <v>0.1383323073387146</v>
      </c>
      <c r="AH10" s="12">
        <v>0.14549160003662109</v>
      </c>
      <c r="AI10" s="12">
        <v>0.15279282629489899</v>
      </c>
      <c r="AJ10" s="16"/>
      <c r="AK10" s="12">
        <v>0.15874077379703522</v>
      </c>
      <c r="AL10" s="12">
        <v>8.2213893532752991E-2</v>
      </c>
      <c r="AM10" s="12">
        <v>0.10530471801757813</v>
      </c>
      <c r="AN10" s="12">
        <v>7.8295238316059113E-2</v>
      </c>
      <c r="AO10" s="16"/>
      <c r="AP10" s="12">
        <v>9.2120222747325897E-2</v>
      </c>
      <c r="AQ10" s="12">
        <v>6.3553623855113983E-2</v>
      </c>
      <c r="AR10" s="12">
        <v>9.0116016566753387E-2</v>
      </c>
      <c r="AS10" s="12">
        <v>5.308426171541214E-2</v>
      </c>
      <c r="AT10" s="16"/>
      <c r="AU10" s="12">
        <v>-2.3010730743408203E-2</v>
      </c>
      <c r="AV10" s="12">
        <v>2.9454290866851807E-2</v>
      </c>
      <c r="AW10" s="12">
        <v>-7.4482865631580353E-2</v>
      </c>
      <c r="AX10" s="12">
        <v>2.8776245191693306E-2</v>
      </c>
      <c r="AY10" s="16"/>
      <c r="AZ10" s="17">
        <v>0.39307740330696106</v>
      </c>
      <c r="BA10" s="17">
        <v>1.1664342135190964E-2</v>
      </c>
      <c r="BB10" s="17">
        <v>0.59722506999969482</v>
      </c>
      <c r="BC10" s="17">
        <v>3.0019911006093025E-2</v>
      </c>
    </row>
    <row r="11" spans="1:62" x14ac:dyDescent="0.3">
      <c r="A11">
        <v>2011</v>
      </c>
      <c r="C11" s="12">
        <v>0.69485014677047729</v>
      </c>
      <c r="D11" s="12">
        <v>2.0487170666456223E-2</v>
      </c>
      <c r="E11" s="12">
        <v>0.48084378242492676</v>
      </c>
      <c r="F11" s="12">
        <v>7.6476775109767914E-2</v>
      </c>
      <c r="G11" s="12">
        <v>0.47001492977142334</v>
      </c>
      <c r="H11" s="12">
        <v>7.126549631357193E-2</v>
      </c>
      <c r="I11" s="16"/>
      <c r="J11" s="12">
        <v>0.55266833305358887</v>
      </c>
      <c r="K11" s="12">
        <v>1.8699390813708305E-2</v>
      </c>
      <c r="L11" s="12">
        <v>0.53197085857391357</v>
      </c>
      <c r="M11" s="12">
        <v>8.3569370210170746E-2</v>
      </c>
      <c r="N11" s="12">
        <v>0.42257419228553772</v>
      </c>
      <c r="O11" s="12">
        <v>5.8729521930217743E-2</v>
      </c>
      <c r="P11" s="16"/>
      <c r="Q11" s="12">
        <v>0.61796873807907104</v>
      </c>
      <c r="R11" s="12">
        <v>1.39851039275527E-2</v>
      </c>
      <c r="S11" s="12">
        <v>0.48489046096801758</v>
      </c>
      <c r="T11" s="12">
        <v>5.5746626108884811E-2</v>
      </c>
      <c r="U11" s="12">
        <v>0.42163777351379395</v>
      </c>
      <c r="V11" s="12">
        <v>4.5309498906135559E-2</v>
      </c>
      <c r="W11" s="16"/>
      <c r="X11" s="16"/>
      <c r="Y11" s="12">
        <v>-1.5391949564218521E-2</v>
      </c>
      <c r="Z11" s="12">
        <v>2.7170604094862938E-2</v>
      </c>
      <c r="AA11" s="12">
        <v>0.36359688639640808</v>
      </c>
      <c r="AB11" s="12">
        <v>2.0841591060161591E-2</v>
      </c>
      <c r="AC11" s="12">
        <v>0.74441349506378174</v>
      </c>
      <c r="AD11" s="12">
        <v>4.22978475689888E-2</v>
      </c>
      <c r="AE11" s="16"/>
      <c r="AF11" s="12">
        <v>0.32888084650039673</v>
      </c>
      <c r="AG11" s="12">
        <v>0.13420106470584869</v>
      </c>
      <c r="AH11" s="12">
        <v>0.25796458125114441</v>
      </c>
      <c r="AI11" s="12">
        <v>0.15118891000747681</v>
      </c>
      <c r="AJ11" s="16"/>
      <c r="AK11" s="12">
        <v>0.13551515340805054</v>
      </c>
      <c r="AL11" s="12">
        <v>8.0697648227214813E-2</v>
      </c>
      <c r="AM11" s="12">
        <v>0.10195331275463104</v>
      </c>
      <c r="AN11" s="12">
        <v>7.9004272818565369E-2</v>
      </c>
      <c r="AO11" s="16"/>
      <c r="AP11" s="12">
        <v>9.6758551895618439E-2</v>
      </c>
      <c r="AQ11" s="12">
        <v>7.2171136736869812E-2</v>
      </c>
      <c r="AR11" s="12">
        <v>8.5327461361885071E-2</v>
      </c>
      <c r="AS11" s="12">
        <v>6.570231169462204E-2</v>
      </c>
      <c r="AT11" s="16"/>
      <c r="AU11" s="12">
        <v>0</v>
      </c>
      <c r="AV11" s="12">
        <v>3.1055072322487831E-2</v>
      </c>
      <c r="AW11" s="12">
        <v>-5.4054223001003265E-2</v>
      </c>
      <c r="AX11" s="12">
        <v>3.8755305111408234E-2</v>
      </c>
      <c r="AY11" s="16"/>
      <c r="AZ11" s="17">
        <v>0.35276398062705994</v>
      </c>
      <c r="BA11" s="17">
        <v>1.3112993910908699E-2</v>
      </c>
      <c r="BB11" s="17">
        <v>0.73358058929443359</v>
      </c>
      <c r="BC11" s="17">
        <v>3.512033075094223E-2</v>
      </c>
    </row>
    <row r="12" spans="1:62" x14ac:dyDescent="0.3">
      <c r="A12">
        <v>2012</v>
      </c>
      <c r="C12" s="12">
        <v>0.65785056352615356</v>
      </c>
      <c r="D12" s="12">
        <v>2.2845659404993057E-2</v>
      </c>
      <c r="E12" s="12">
        <v>0.45892104506492615</v>
      </c>
      <c r="F12" s="12">
        <v>9.4602294266223907E-2</v>
      </c>
      <c r="G12" s="12">
        <v>0.41555047035217285</v>
      </c>
      <c r="H12" s="12">
        <v>6.4506381750106812E-2</v>
      </c>
      <c r="I12" s="16"/>
      <c r="J12" s="12">
        <v>0.52633059024810791</v>
      </c>
      <c r="K12" s="12">
        <v>1.6349602490663528E-2</v>
      </c>
      <c r="L12" s="12">
        <v>0.45201468467712402</v>
      </c>
      <c r="M12" s="12">
        <v>9.7776792943477631E-2</v>
      </c>
      <c r="N12" s="12">
        <v>0.40604951977729797</v>
      </c>
      <c r="O12" s="12">
        <v>7.1502730250358582E-2</v>
      </c>
      <c r="P12" s="16"/>
      <c r="Q12" s="12">
        <v>0.59222513437271118</v>
      </c>
      <c r="R12" s="12">
        <v>1.3477403670549393E-2</v>
      </c>
      <c r="S12" s="12">
        <v>0.36928412318229675</v>
      </c>
      <c r="T12" s="12">
        <v>6.0148656368255615E-2</v>
      </c>
      <c r="U12" s="12">
        <v>0.37844693660736084</v>
      </c>
      <c r="V12" s="12">
        <v>5.0808608531951904E-2</v>
      </c>
      <c r="W12" s="16"/>
      <c r="X12" s="16"/>
      <c r="Y12" s="12">
        <v>8.7349496781826019E-2</v>
      </c>
      <c r="Z12" s="12">
        <v>3.1273432075977325E-2</v>
      </c>
      <c r="AA12" s="12">
        <v>0.29975825548171997</v>
      </c>
      <c r="AB12" s="12">
        <v>2.3688370361924171E-2</v>
      </c>
      <c r="AC12" s="12">
        <v>0.65909641981124878</v>
      </c>
      <c r="AD12" s="12">
        <v>3.5180501639842987E-2</v>
      </c>
      <c r="AE12" s="16"/>
      <c r="AF12" s="12">
        <v>0.24471653997898102</v>
      </c>
      <c r="AG12" s="12">
        <v>0.12968169152736664</v>
      </c>
      <c r="AH12" s="12">
        <v>0.32310831546783447</v>
      </c>
      <c r="AI12" s="12">
        <v>0.15233756601810455</v>
      </c>
      <c r="AJ12" s="16"/>
      <c r="AK12" s="12">
        <v>0.25042799115180969</v>
      </c>
      <c r="AL12" s="12">
        <v>7.5659982860088348E-2</v>
      </c>
      <c r="AM12" s="12">
        <v>0.25026753544807434</v>
      </c>
      <c r="AN12" s="12">
        <v>8.8774114847183228E-2</v>
      </c>
      <c r="AO12" s="16"/>
      <c r="AP12" s="12">
        <v>0.15049850940704346</v>
      </c>
      <c r="AQ12" s="12">
        <v>5.8741822838783264E-2</v>
      </c>
      <c r="AR12" s="12">
        <v>0.17079897224903107</v>
      </c>
      <c r="AS12" s="12">
        <v>6.8265214562416077E-2</v>
      </c>
      <c r="AT12" s="16"/>
      <c r="AU12" s="12">
        <v>-9.5400810241699219E-2</v>
      </c>
      <c r="AV12" s="12">
        <v>2.7649996802210808E-2</v>
      </c>
      <c r="AW12" s="12">
        <v>-0.12265034765005112</v>
      </c>
      <c r="AX12" s="12">
        <v>3.306131437420845E-2</v>
      </c>
      <c r="AY12" s="16"/>
      <c r="AZ12" s="17">
        <v>0.35156282782554626</v>
      </c>
      <c r="BA12" s="17">
        <v>1.4282570220530033E-2</v>
      </c>
      <c r="BB12" s="17">
        <v>0.71090102195739746</v>
      </c>
      <c r="BC12" s="17">
        <v>3.0763393267989159E-2</v>
      </c>
    </row>
    <row r="13" spans="1:62" x14ac:dyDescent="0.3">
      <c r="A13">
        <v>2013</v>
      </c>
      <c r="C13" s="12">
        <v>0.60020679235458374</v>
      </c>
      <c r="D13" s="12">
        <v>1.8778132274746895E-2</v>
      </c>
      <c r="E13" s="12">
        <v>0.27383032441139221</v>
      </c>
      <c r="F13" s="12">
        <v>0.11796782165765762</v>
      </c>
      <c r="G13" s="12">
        <v>0.24428167939186096</v>
      </c>
      <c r="H13" s="12">
        <v>7.9202018678188324E-2</v>
      </c>
      <c r="I13" s="16"/>
      <c r="J13" s="12">
        <v>0.51929265260696411</v>
      </c>
      <c r="K13" s="12">
        <v>1.3500143773853779E-2</v>
      </c>
      <c r="L13" s="12">
        <v>0.49683606624603271</v>
      </c>
      <c r="M13" s="12">
        <v>9.3769639730453491E-2</v>
      </c>
      <c r="N13" s="12">
        <v>0.39624494314193726</v>
      </c>
      <c r="O13" s="12">
        <v>7.3504388332366943E-2</v>
      </c>
      <c r="P13" s="16"/>
      <c r="Q13" s="12">
        <v>0.54770904779434204</v>
      </c>
      <c r="R13" s="12">
        <v>1.2866693548858166E-2</v>
      </c>
      <c r="S13" s="12">
        <v>0.37292149662971497</v>
      </c>
      <c r="T13" s="12">
        <v>8.2156144082546234E-2</v>
      </c>
      <c r="U13" s="12">
        <v>0.30955260992050171</v>
      </c>
      <c r="V13" s="12">
        <v>5.9692438691854477E-2</v>
      </c>
      <c r="W13" s="16"/>
      <c r="X13" s="16"/>
      <c r="Y13" s="12">
        <v>-3.1769007444381714E-2</v>
      </c>
      <c r="Z13" s="12">
        <v>2.4511609226465225E-2</v>
      </c>
      <c r="AA13" s="12">
        <v>0.40135800838470459</v>
      </c>
      <c r="AB13" s="12">
        <v>1.9502349197864532E-2</v>
      </c>
      <c r="AC13" s="12">
        <v>0.93464243412017822</v>
      </c>
      <c r="AD13" s="12">
        <v>3.9135150611400604E-2</v>
      </c>
      <c r="AE13" s="16"/>
      <c r="AF13" s="12">
        <v>0.42839020490646362</v>
      </c>
      <c r="AG13" s="12">
        <v>0.1712934672832489</v>
      </c>
      <c r="AH13" s="12">
        <v>0.38791373372077942</v>
      </c>
      <c r="AI13" s="12">
        <v>0.16703428328037262</v>
      </c>
      <c r="AJ13" s="16"/>
      <c r="AK13" s="12">
        <v>-2.4056272581219673E-2</v>
      </c>
      <c r="AL13" s="12">
        <v>0.10604465752840042</v>
      </c>
      <c r="AM13" s="12">
        <v>-6.1925940215587616E-2</v>
      </c>
      <c r="AN13" s="12">
        <v>0.1102181002497673</v>
      </c>
      <c r="AO13" s="16"/>
      <c r="AP13" s="12">
        <v>0.21377086639404297</v>
      </c>
      <c r="AQ13" s="12">
        <v>5.3669556975364685E-2</v>
      </c>
      <c r="AR13" s="12">
        <v>0.24240832030773163</v>
      </c>
      <c r="AS13" s="12">
        <v>7.0561647415161133E-2</v>
      </c>
      <c r="AT13" s="16"/>
      <c r="AU13" s="12">
        <v>5.5599212646484375E-3</v>
      </c>
      <c r="AV13" s="12">
        <v>2.4536773562431335E-2</v>
      </c>
      <c r="AW13" s="12">
        <v>-1.8110807985067368E-2</v>
      </c>
      <c r="AX13" s="12">
        <v>3.4504089504480362E-2</v>
      </c>
      <c r="AY13" s="16"/>
      <c r="AZ13" s="17">
        <v>0.383940190076828</v>
      </c>
      <c r="BA13" s="17">
        <v>1.1132126674056053E-2</v>
      </c>
      <c r="BB13" s="17">
        <v>0.91722464561462402</v>
      </c>
      <c r="BC13" s="17">
        <v>3.6742646247148514E-2</v>
      </c>
    </row>
    <row r="17" spans="27:29" x14ac:dyDescent="0.3">
      <c r="AC17" s="9"/>
    </row>
    <row r="19" spans="27:29" x14ac:dyDescent="0.3">
      <c r="AA19" s="9"/>
      <c r="AC19" s="9">
        <f>Y4+AC4</f>
        <v>0.42748169600963593</v>
      </c>
    </row>
  </sheetData>
  <mergeCells count="10">
    <mergeCell ref="BH1:BJ1"/>
    <mergeCell ref="BD1:BF1"/>
    <mergeCell ref="AZ1:BB1"/>
    <mergeCell ref="AP1:AR1"/>
    <mergeCell ref="C1:G1"/>
    <mergeCell ref="J1:N1"/>
    <mergeCell ref="Q1:U1"/>
    <mergeCell ref="Y1:AC1"/>
    <mergeCell ref="AK1:AM1"/>
    <mergeCell ref="AF1:AH1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13"/>
  <sheetViews>
    <sheetView workbookViewId="0">
      <selection activeCell="F24" sqref="F24"/>
    </sheetView>
  </sheetViews>
  <sheetFormatPr defaultColWidth="8.77734375" defaultRowHeight="14.4" x14ac:dyDescent="0.3"/>
  <sheetData>
    <row r="1" spans="2:21" x14ac:dyDescent="0.3">
      <c r="B1" s="21" t="s">
        <v>3</v>
      </c>
      <c r="C1" s="21"/>
      <c r="D1" s="21"/>
      <c r="E1" s="21"/>
      <c r="F1" s="21"/>
      <c r="G1" s="21"/>
      <c r="H1" s="21"/>
      <c r="I1" s="21"/>
      <c r="J1" s="21" t="s">
        <v>0</v>
      </c>
      <c r="K1" s="21"/>
      <c r="L1" s="21"/>
      <c r="M1" s="21"/>
      <c r="N1" s="21" t="s">
        <v>6</v>
      </c>
      <c r="O1" s="21"/>
      <c r="P1" s="21"/>
      <c r="Q1" s="21"/>
      <c r="R1" s="21" t="s">
        <v>7</v>
      </c>
      <c r="S1" s="21"/>
      <c r="T1" s="21"/>
      <c r="U1" s="21"/>
    </row>
    <row r="2" spans="2:21" x14ac:dyDescent="0.3">
      <c r="B2" t="s">
        <v>4</v>
      </c>
      <c r="D2" t="s">
        <v>5</v>
      </c>
      <c r="F2" t="s">
        <v>14</v>
      </c>
      <c r="H2" t="s">
        <v>8</v>
      </c>
      <c r="J2" t="s">
        <v>1</v>
      </c>
      <c r="L2" t="s">
        <v>2</v>
      </c>
      <c r="N2" t="s">
        <v>1</v>
      </c>
      <c r="P2" t="s">
        <v>2</v>
      </c>
      <c r="R2" t="s">
        <v>1</v>
      </c>
      <c r="T2" t="s">
        <v>2</v>
      </c>
    </row>
    <row r="3" spans="2:21" x14ac:dyDescent="0.3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2:21" x14ac:dyDescent="0.3">
      <c r="B4" s="15">
        <v>-0.11927708238363266</v>
      </c>
      <c r="C4" s="15">
        <v>5.8966372162103653E-2</v>
      </c>
      <c r="D4" s="15">
        <v>-3.2707296311855316E-2</v>
      </c>
      <c r="E4" s="15">
        <v>3.4825727343559265E-2</v>
      </c>
      <c r="F4" s="15">
        <v>-8.3214327692985535E-2</v>
      </c>
      <c r="G4" s="15">
        <v>3.1587712466716766E-2</v>
      </c>
      <c r="H4" s="15">
        <v>7.4302561581134796E-2</v>
      </c>
      <c r="I4" s="15">
        <v>4.1826367378234863E-2</v>
      </c>
      <c r="J4" s="15">
        <v>-0.14354714751243591</v>
      </c>
      <c r="K4" s="15">
        <v>3.2092336565256119E-2</v>
      </c>
      <c r="L4" s="15">
        <v>-5.6977365165948868E-2</v>
      </c>
      <c r="M4" s="15">
        <v>7.0117294788360596E-2</v>
      </c>
      <c r="N4" s="15">
        <v>0.63191592693328857</v>
      </c>
      <c r="O4" s="15">
        <v>1.9902175292372704E-2</v>
      </c>
      <c r="P4" s="15">
        <v>0.6646232008934021</v>
      </c>
      <c r="Q4" s="15">
        <v>3.376263752579689E-2</v>
      </c>
      <c r="R4" s="15">
        <v>0.51116102933883667</v>
      </c>
      <c r="S4" s="15">
        <v>3.479732945561409E-2</v>
      </c>
      <c r="T4" s="15">
        <v>0.61817085742950439</v>
      </c>
      <c r="U4" s="15">
        <v>4.2600832879543304E-2</v>
      </c>
    </row>
    <row r="5" spans="2:21" x14ac:dyDescent="0.3">
      <c r="B5" s="12">
        <v>-0.18934044241905212</v>
      </c>
      <c r="C5" s="12">
        <v>6.1288014054298401E-2</v>
      </c>
      <c r="D5" s="12">
        <v>2.1400485187768936E-2</v>
      </c>
      <c r="E5" s="12">
        <v>3.1816009432077408E-2</v>
      </c>
      <c r="F5" s="12">
        <v>-5.7714015245437622E-2</v>
      </c>
      <c r="G5" s="12">
        <v>2.8677396476268768E-2</v>
      </c>
      <c r="H5" s="12">
        <v>0.28756299614906311</v>
      </c>
      <c r="I5" s="12">
        <v>4.3637599796056747E-2</v>
      </c>
      <c r="J5" s="12">
        <v>-0.11360395699739456</v>
      </c>
      <c r="K5" s="12">
        <v>2.6318969205021858E-2</v>
      </c>
      <c r="L5" s="12">
        <v>9.71369668841362E-2</v>
      </c>
      <c r="M5" s="12">
        <v>6.3650600612163544E-2</v>
      </c>
      <c r="N5" s="12">
        <v>0.61908924579620361</v>
      </c>
      <c r="O5" s="12">
        <v>1.5395228751003742E-2</v>
      </c>
      <c r="P5" s="12">
        <v>0.59768873453140259</v>
      </c>
      <c r="Q5" s="12">
        <v>2.9728654772043228E-2</v>
      </c>
      <c r="R5" s="12">
        <v>0.49603119492530823</v>
      </c>
      <c r="S5" s="12">
        <v>3.7674479186534882E-2</v>
      </c>
      <c r="T5" s="12">
        <v>0.76219373941421509</v>
      </c>
      <c r="U5" s="12">
        <v>4.9249731004238129E-2</v>
      </c>
    </row>
    <row r="6" spans="2:21" x14ac:dyDescent="0.3">
      <c r="B6" s="12">
        <v>-3.3694587647914886E-2</v>
      </c>
      <c r="C6" s="12">
        <v>4.4087603688240051E-2</v>
      </c>
      <c r="D6" s="12">
        <v>3.8494326174259186E-2</v>
      </c>
      <c r="E6" s="12">
        <v>3.8858212530612946E-2</v>
      </c>
      <c r="F6" s="12">
        <v>-9.4039523974061012E-3</v>
      </c>
      <c r="G6" s="12">
        <v>2.8890565037727356E-2</v>
      </c>
      <c r="H6" s="12">
        <v>0.20482677221298218</v>
      </c>
      <c r="I6" s="12">
        <v>4.7719899564981461E-2</v>
      </c>
      <c r="J6" s="12">
        <v>-0.15578740835189819</v>
      </c>
      <c r="K6" s="12">
        <v>2.5233980268239975E-2</v>
      </c>
      <c r="L6" s="12">
        <v>-8.3598494529724121E-2</v>
      </c>
      <c r="M6" s="12">
        <v>5.4440438747406006E-2</v>
      </c>
      <c r="N6" s="12">
        <v>0.57844299077987671</v>
      </c>
      <c r="O6" s="12">
        <v>1.9309774041175842E-2</v>
      </c>
      <c r="P6" s="12">
        <v>0.53994864225387573</v>
      </c>
      <c r="Q6" s="12">
        <v>3.0897978693246841E-2</v>
      </c>
      <c r="R6" s="12">
        <v>0.59489983320236206</v>
      </c>
      <c r="S6" s="12">
        <v>3.7502609193325043E-2</v>
      </c>
      <c r="T6" s="12">
        <v>0.76123225688934326</v>
      </c>
      <c r="U6" s="12">
        <v>4.4284455478191376E-2</v>
      </c>
    </row>
    <row r="7" spans="2:21" x14ac:dyDescent="0.3">
      <c r="B7" s="12">
        <v>-2.6855776086449623E-2</v>
      </c>
      <c r="C7" s="12">
        <v>4.9168489873409271E-2</v>
      </c>
      <c r="D7" s="12">
        <v>1.701020635664463E-2</v>
      </c>
      <c r="E7" s="12">
        <v>3.5763192921876907E-2</v>
      </c>
      <c r="F7" s="12">
        <v>-1.9294112920761108E-2</v>
      </c>
      <c r="G7" s="12">
        <v>2.9935622587800026E-2</v>
      </c>
      <c r="H7" s="12">
        <v>0.25394302606582642</v>
      </c>
      <c r="I7" s="12">
        <v>5.0919901579618454E-2</v>
      </c>
      <c r="J7" s="12">
        <v>-0.13684795796871185</v>
      </c>
      <c r="K7" s="12">
        <v>2.5030847638845444E-2</v>
      </c>
      <c r="L7" s="12">
        <v>-9.2981979250907898E-2</v>
      </c>
      <c r="M7" s="12">
        <v>5.9122771024703979E-2</v>
      </c>
      <c r="N7" s="12">
        <v>0.51405048370361328</v>
      </c>
      <c r="O7" s="12">
        <v>1.7086731269955635E-2</v>
      </c>
      <c r="P7" s="12">
        <v>0.4970402717590332</v>
      </c>
      <c r="Q7" s="12">
        <v>3.6479923874139786E-2</v>
      </c>
      <c r="R7" s="12">
        <v>0.53778016567230225</v>
      </c>
      <c r="S7" s="12">
        <v>4.8627730458974838E-2</v>
      </c>
      <c r="T7" s="12">
        <v>0.77471297979354858</v>
      </c>
      <c r="U7" s="12">
        <v>4.3241959065198898E-2</v>
      </c>
    </row>
    <row r="8" spans="2:21" x14ac:dyDescent="0.3">
      <c r="B8" s="12">
        <v>-7.16443732380867E-2</v>
      </c>
      <c r="C8" s="12">
        <v>4.5350935310125351E-2</v>
      </c>
      <c r="D8" s="12">
        <v>-2.8472842648625374E-2</v>
      </c>
      <c r="E8" s="12">
        <v>3.6747969686985016E-2</v>
      </c>
      <c r="F8" s="12">
        <v>-6.0930248349905014E-2</v>
      </c>
      <c r="G8" s="12">
        <v>2.7988571673631668E-2</v>
      </c>
      <c r="H8" s="12">
        <v>0.24226720631122589</v>
      </c>
      <c r="I8" s="12">
        <v>5.310247465968132E-2</v>
      </c>
      <c r="J8" s="12">
        <v>-0.11294008791446686</v>
      </c>
      <c r="K8" s="12">
        <v>2.4189859628677368E-2</v>
      </c>
      <c r="L8" s="12">
        <v>-6.9768555462360382E-2</v>
      </c>
      <c r="M8" s="12">
        <v>5.1831353455781937E-2</v>
      </c>
      <c r="N8" s="12">
        <v>0.49851682782173157</v>
      </c>
      <c r="O8" s="12">
        <v>1.5490295365452766E-2</v>
      </c>
      <c r="P8" s="12">
        <v>0.5269896388053894</v>
      </c>
      <c r="Q8" s="12">
        <v>3.6441989243030548E-2</v>
      </c>
      <c r="R8" s="12">
        <v>0.63174116611480713</v>
      </c>
      <c r="S8" s="12">
        <v>4.8114661127328873E-2</v>
      </c>
      <c r="T8" s="12">
        <v>0.90248119831085205</v>
      </c>
      <c r="U8" s="12">
        <v>4.5805558562278748E-2</v>
      </c>
    </row>
    <row r="9" spans="2:21" x14ac:dyDescent="0.3">
      <c r="B9" s="12">
        <v>-6.1563681811094284E-2</v>
      </c>
      <c r="C9" s="12">
        <v>3.5329107195138931E-2</v>
      </c>
      <c r="D9" s="12">
        <v>-5.0742486491799355E-3</v>
      </c>
      <c r="E9" s="12">
        <v>4.0583018213510513E-2</v>
      </c>
      <c r="F9" s="12">
        <v>-3.3347148448228836E-2</v>
      </c>
      <c r="G9" s="12">
        <v>2.7252217754721642E-2</v>
      </c>
      <c r="H9" s="12">
        <v>0.32029610872268677</v>
      </c>
      <c r="I9" s="12">
        <v>7.1954183280467987E-2</v>
      </c>
      <c r="J9" s="12">
        <v>-5.2480481564998627E-2</v>
      </c>
      <c r="K9" s="12">
        <v>2.8737042099237442E-2</v>
      </c>
      <c r="L9" s="12">
        <v>4.0089534595608711E-3</v>
      </c>
      <c r="M9" s="12">
        <v>5.551636591553688E-2</v>
      </c>
      <c r="N9" s="12">
        <v>0.54456961154937744</v>
      </c>
      <c r="O9" s="12">
        <v>2.132280170917511E-2</v>
      </c>
      <c r="P9" s="12">
        <v>0.549643874168396</v>
      </c>
      <c r="Q9" s="12">
        <v>3.6226995289325714E-2</v>
      </c>
      <c r="R9" s="12">
        <v>0.46657133102416992</v>
      </c>
      <c r="S9" s="12">
        <v>5.6120369583368301E-2</v>
      </c>
      <c r="T9" s="12">
        <v>0.79194170236587524</v>
      </c>
      <c r="U9" s="12">
        <v>5.1816333085298538E-2</v>
      </c>
    </row>
    <row r="10" spans="2:21" x14ac:dyDescent="0.3">
      <c r="B10" s="12">
        <v>-2.1461348980665207E-2</v>
      </c>
      <c r="C10" s="12">
        <v>3.58441062271595E-2</v>
      </c>
      <c r="D10" s="12">
        <v>6.2047440558671951E-2</v>
      </c>
      <c r="E10" s="12">
        <v>3.9431694895029068E-2</v>
      </c>
      <c r="F10" s="12">
        <v>1.9969936460256577E-2</v>
      </c>
      <c r="G10" s="12">
        <v>2.4127485230565071E-2</v>
      </c>
      <c r="H10" s="12">
        <v>0.24170811474323273</v>
      </c>
      <c r="I10" s="12">
        <v>6.5443515777587891E-2</v>
      </c>
      <c r="J10" s="12">
        <v>9.1373929753899574E-3</v>
      </c>
      <c r="K10" s="12">
        <v>2.4002280086278915E-2</v>
      </c>
      <c r="L10" s="12">
        <v>9.2646181583404541E-2</v>
      </c>
      <c r="M10" s="12">
        <v>5.0962489098310471E-2</v>
      </c>
      <c r="N10" s="12">
        <v>0.39116257429122925</v>
      </c>
      <c r="O10" s="12">
        <v>1.5982219949364662E-2</v>
      </c>
      <c r="P10" s="12">
        <v>0.32911515235900879</v>
      </c>
      <c r="Q10" s="12">
        <v>3.4082368016242981E-2</v>
      </c>
      <c r="R10" s="12">
        <v>0.43272203207015991</v>
      </c>
      <c r="S10" s="12">
        <v>5.5158335715532303E-2</v>
      </c>
      <c r="T10" s="12">
        <v>0.61238270998001099</v>
      </c>
      <c r="U10" s="12">
        <v>4.7082703560590744E-2</v>
      </c>
    </row>
    <row r="11" spans="2:21" x14ac:dyDescent="0.3">
      <c r="B11" s="12">
        <v>-0.1695612370967865</v>
      </c>
      <c r="C11" s="12">
        <v>4.2457517236471176E-2</v>
      </c>
      <c r="D11" s="12">
        <v>-5.8502741158008575E-2</v>
      </c>
      <c r="E11" s="12">
        <v>4.9298733472824097E-2</v>
      </c>
      <c r="F11" s="12">
        <v>-0.10866661369800568</v>
      </c>
      <c r="G11" s="12">
        <v>3.226286917924881E-2</v>
      </c>
      <c r="H11" s="12">
        <v>0.28169333934783936</v>
      </c>
      <c r="I11" s="12">
        <v>6.0575291514396667E-2</v>
      </c>
      <c r="J11" s="12">
        <v>-3.6196213215589523E-2</v>
      </c>
      <c r="K11" s="12">
        <v>3.3133741468191147E-2</v>
      </c>
      <c r="L11" s="12">
        <v>7.4862278997898102E-2</v>
      </c>
      <c r="M11" s="12">
        <v>5.8359168469905853E-2</v>
      </c>
      <c r="N11" s="12">
        <v>0.34749320149421692</v>
      </c>
      <c r="O11" s="12">
        <v>2.6299720630049706E-2</v>
      </c>
      <c r="P11" s="12">
        <v>0.4059959352016449</v>
      </c>
      <c r="Q11" s="12">
        <v>3.9274644106626511E-2</v>
      </c>
      <c r="R11" s="12">
        <v>0.53981602191925049</v>
      </c>
      <c r="S11" s="12">
        <v>6.5208196640014648E-2</v>
      </c>
      <c r="T11" s="12">
        <v>0.8800121545791626</v>
      </c>
      <c r="U11" s="12">
        <v>5.4926931858062744E-2</v>
      </c>
    </row>
    <row r="12" spans="2:21" x14ac:dyDescent="0.3">
      <c r="B12" s="12">
        <v>-3.4657545387744904E-2</v>
      </c>
      <c r="C12" s="12">
        <v>3.7643332034349442E-2</v>
      </c>
      <c r="D12" s="12">
        <v>-1.4085781294852495E-3</v>
      </c>
      <c r="E12" s="12">
        <v>5.0067856907844543E-2</v>
      </c>
      <c r="F12" s="12">
        <v>-1.4006972778588533E-3</v>
      </c>
      <c r="G12" s="12">
        <v>2.9434341937303543E-2</v>
      </c>
      <c r="H12" s="12">
        <v>9.4998866319656372E-2</v>
      </c>
      <c r="I12" s="12">
        <v>6.6614329814910889E-2</v>
      </c>
      <c r="J12" s="12">
        <v>8.0458305776119232E-2</v>
      </c>
      <c r="K12" s="12">
        <v>2.9556786641478539E-2</v>
      </c>
      <c r="L12" s="12">
        <v>0.1137072741985321</v>
      </c>
      <c r="M12" s="12">
        <v>5.1045112311840057E-2</v>
      </c>
      <c r="N12" s="12">
        <v>0.29868680238723755</v>
      </c>
      <c r="O12" s="12">
        <v>2.5870740413665771E-2</v>
      </c>
      <c r="P12" s="12">
        <v>0.30009537935256958</v>
      </c>
      <c r="Q12" s="12">
        <v>4.6556346118450165E-2</v>
      </c>
      <c r="R12" s="12">
        <v>0.59375953674316406</v>
      </c>
      <c r="S12" s="12">
        <v>6.8022802472114563E-2</v>
      </c>
      <c r="T12" s="12">
        <v>0.69016700983047485</v>
      </c>
      <c r="U12" s="12">
        <v>5.7165119796991348E-2</v>
      </c>
    </row>
    <row r="13" spans="2:21" x14ac:dyDescent="0.3">
      <c r="B13" s="12">
        <v>-4.4243205338716507E-2</v>
      </c>
      <c r="C13" s="12">
        <v>3.2171454280614853E-2</v>
      </c>
      <c r="D13" s="12">
        <v>1.5881679719313979E-3</v>
      </c>
      <c r="E13" s="12">
        <v>5.0542030483484268E-2</v>
      </c>
      <c r="F13" s="12">
        <v>-2.5733379647135735E-2</v>
      </c>
      <c r="G13" s="12">
        <v>3.1904105097055435E-2</v>
      </c>
      <c r="H13" s="12">
        <v>0.15787719190120697</v>
      </c>
      <c r="I13" s="12">
        <v>7.9333268105983734E-2</v>
      </c>
      <c r="J13" s="12">
        <v>-4.4617515057325363E-2</v>
      </c>
      <c r="K13" s="12">
        <v>2.8629429638385773E-2</v>
      </c>
      <c r="L13" s="12">
        <v>1.2138569727540016E-3</v>
      </c>
      <c r="M13" s="12">
        <v>6.0610082000494003E-2</v>
      </c>
      <c r="N13" s="12">
        <v>0.40211048722267151</v>
      </c>
      <c r="O13" s="12">
        <v>2.1685495972633362E-2</v>
      </c>
      <c r="P13" s="12">
        <v>0.40052232146263123</v>
      </c>
      <c r="Q13" s="12">
        <v>4.4347058981657028E-2</v>
      </c>
      <c r="R13" s="12">
        <v>0.82151871919631958</v>
      </c>
      <c r="S13" s="12">
        <v>6.0743182897567749E-2</v>
      </c>
      <c r="T13" s="12">
        <v>0.97780776023864746</v>
      </c>
      <c r="U13" s="12">
        <v>5.9629112482070923E-2</v>
      </c>
    </row>
  </sheetData>
  <mergeCells count="4">
    <mergeCell ref="J1:M1"/>
    <mergeCell ref="N1:Q1"/>
    <mergeCell ref="R1:U1"/>
    <mergeCell ref="B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14"/>
  <sheetViews>
    <sheetView topLeftCell="A2" workbookViewId="0">
      <selection activeCell="G27" sqref="G27"/>
    </sheetView>
  </sheetViews>
  <sheetFormatPr defaultColWidth="8.77734375" defaultRowHeight="14.4" x14ac:dyDescent="0.3"/>
  <sheetData>
    <row r="1" spans="1:47" x14ac:dyDescent="0.3">
      <c r="C1" s="21" t="s">
        <v>51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R1" s="21" t="s">
        <v>53</v>
      </c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"/>
      <c r="AG1" s="21" t="s">
        <v>54</v>
      </c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"/>
    </row>
    <row r="2" spans="1:47" x14ac:dyDescent="0.3">
      <c r="C2" t="s">
        <v>39</v>
      </c>
      <c r="E2" t="s">
        <v>40</v>
      </c>
      <c r="G2" t="s">
        <v>49</v>
      </c>
      <c r="I2" s="21" t="s">
        <v>50</v>
      </c>
      <c r="J2" s="21"/>
      <c r="K2" s="21"/>
      <c r="L2" s="21"/>
      <c r="M2" s="21" t="s">
        <v>52</v>
      </c>
      <c r="N2" s="21"/>
      <c r="O2" s="21"/>
      <c r="P2" s="21"/>
      <c r="R2" t="s">
        <v>39</v>
      </c>
      <c r="T2" t="s">
        <v>40</v>
      </c>
      <c r="V2" t="s">
        <v>49</v>
      </c>
      <c r="X2" s="21" t="s">
        <v>50</v>
      </c>
      <c r="Y2" s="21"/>
      <c r="Z2" s="21"/>
      <c r="AA2" s="21"/>
      <c r="AB2" s="21" t="s">
        <v>52</v>
      </c>
      <c r="AC2" s="21"/>
      <c r="AD2" s="21"/>
      <c r="AE2" s="21"/>
      <c r="AF2" s="2"/>
      <c r="AG2" t="s">
        <v>39</v>
      </c>
      <c r="AI2" t="s">
        <v>40</v>
      </c>
      <c r="AK2" t="s">
        <v>49</v>
      </c>
      <c r="AM2" s="21" t="s">
        <v>50</v>
      </c>
      <c r="AN2" s="21"/>
      <c r="AO2" s="21"/>
      <c r="AP2" s="21"/>
      <c r="AQ2" s="21" t="s">
        <v>52</v>
      </c>
      <c r="AR2" s="21"/>
      <c r="AS2" s="21"/>
      <c r="AT2" s="21"/>
      <c r="AU2" s="2"/>
    </row>
    <row r="3" spans="1:47" x14ac:dyDescent="0.3">
      <c r="I3" s="21" t="s">
        <v>41</v>
      </c>
      <c r="J3" s="21"/>
      <c r="K3" s="21" t="s">
        <v>42</v>
      </c>
      <c r="L3" s="21"/>
      <c r="M3" s="21" t="s">
        <v>41</v>
      </c>
      <c r="N3" s="21"/>
      <c r="O3" s="21" t="s">
        <v>42</v>
      </c>
      <c r="P3" s="21"/>
      <c r="X3" s="21" t="s">
        <v>41</v>
      </c>
      <c r="Y3" s="21"/>
      <c r="Z3" s="21" t="s">
        <v>42</v>
      </c>
      <c r="AA3" s="21"/>
      <c r="AB3" s="21" t="s">
        <v>41</v>
      </c>
      <c r="AC3" s="21"/>
      <c r="AD3" s="21" t="s">
        <v>42</v>
      </c>
      <c r="AE3" s="21"/>
      <c r="AM3" s="21" t="s">
        <v>41</v>
      </c>
      <c r="AN3" s="21"/>
      <c r="AO3" s="21" t="s">
        <v>42</v>
      </c>
      <c r="AP3" s="21"/>
      <c r="AQ3" s="21" t="s">
        <v>41</v>
      </c>
      <c r="AR3" s="21"/>
      <c r="AS3" s="21" t="s">
        <v>42</v>
      </c>
      <c r="AT3" s="21"/>
    </row>
    <row r="4" spans="1:47" x14ac:dyDescent="0.3">
      <c r="A4">
        <v>2003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7"/>
    </row>
    <row r="5" spans="1:47" x14ac:dyDescent="0.3">
      <c r="A5">
        <v>2004</v>
      </c>
      <c r="C5" s="13">
        <v>0.61661750078201294</v>
      </c>
      <c r="D5" s="13">
        <v>1.2565246783196926E-2</v>
      </c>
      <c r="E5" s="13">
        <v>0.69004940986633301</v>
      </c>
      <c r="F5" s="13">
        <v>1.4587553218007088E-2</v>
      </c>
      <c r="G5" s="13">
        <v>0.8351399302482605</v>
      </c>
      <c r="H5" s="13">
        <v>1.2508231215178967E-2</v>
      </c>
      <c r="I5" s="13">
        <v>0.97025471925735474</v>
      </c>
      <c r="J5" s="13">
        <v>2.2184953559190035E-3</v>
      </c>
      <c r="K5" s="13">
        <v>0.95267170667648315</v>
      </c>
      <c r="L5" s="13">
        <v>2.9907203279435635E-3</v>
      </c>
      <c r="M5" s="13">
        <v>0.2028510570526123</v>
      </c>
      <c r="N5" s="13">
        <v>2.2374313324689865E-2</v>
      </c>
      <c r="O5" s="13">
        <v>0.27324038743972778</v>
      </c>
      <c r="P5" s="13">
        <v>2.3332677781581879E-2</v>
      </c>
      <c r="Q5" s="14"/>
      <c r="R5" s="13">
        <v>0.39553084969520569</v>
      </c>
      <c r="S5" s="13">
        <v>1.5642944723367691E-2</v>
      </c>
      <c r="T5" s="13">
        <v>0.35064104199409485</v>
      </c>
      <c r="U5" s="13">
        <v>1.642611064016819E-2</v>
      </c>
      <c r="V5" s="13">
        <v>0.89593106508255005</v>
      </c>
      <c r="W5" s="13">
        <v>3.0745984986424446E-2</v>
      </c>
      <c r="X5" s="13">
        <v>0.90851545333862305</v>
      </c>
      <c r="Y5" s="13">
        <v>1.2816657312214375E-2</v>
      </c>
      <c r="Z5" s="13">
        <v>0.84720021486282349</v>
      </c>
      <c r="AA5" s="13">
        <v>2.0473795011639595E-2</v>
      </c>
      <c r="AB5" s="13">
        <v>-0.19644547998905182</v>
      </c>
      <c r="AC5" s="13">
        <v>4.7966375946998596E-2</v>
      </c>
      <c r="AD5" s="13">
        <v>-0.20371998846530914</v>
      </c>
      <c r="AE5" s="13">
        <v>3.9659462869167328E-2</v>
      </c>
      <c r="AF5" s="14"/>
      <c r="AG5" s="13">
        <v>0.61995190382003784</v>
      </c>
      <c r="AH5" s="13">
        <v>2.9985895380377769E-2</v>
      </c>
      <c r="AI5" s="13">
        <v>0.70891398191452026</v>
      </c>
      <c r="AJ5" s="13">
        <v>3.5492345690727234E-2</v>
      </c>
      <c r="AK5" s="13">
        <v>0.79458767175674438</v>
      </c>
      <c r="AL5" s="13">
        <v>2.9258804395794868E-2</v>
      </c>
      <c r="AM5" s="13">
        <v>0.97476375102996826</v>
      </c>
      <c r="AN5" s="13">
        <v>4.0306537412106991E-3</v>
      </c>
      <c r="AO5" s="13">
        <v>0.96376073360443115</v>
      </c>
      <c r="AP5" s="13">
        <v>6.0608838684856892E-3</v>
      </c>
      <c r="AQ5" s="13">
        <v>0.1213369145989418</v>
      </c>
      <c r="AR5" s="13">
        <v>6.3619166612625122E-2</v>
      </c>
      <c r="AS5" s="13">
        <v>0.17118522524833679</v>
      </c>
      <c r="AT5" s="13">
        <v>6.16263747215271E-2</v>
      </c>
      <c r="AU5" s="8"/>
    </row>
    <row r="6" spans="1:47" x14ac:dyDescent="0.3">
      <c r="A6">
        <v>2005</v>
      </c>
      <c r="C6" s="10">
        <v>0.74275606870651245</v>
      </c>
      <c r="D6" s="10">
        <v>1.5102667734026909E-2</v>
      </c>
      <c r="E6" s="10">
        <v>0.81869393587112427</v>
      </c>
      <c r="F6" s="10">
        <v>1.7244406044483185E-2</v>
      </c>
      <c r="G6" s="10">
        <v>0.80973643064498901</v>
      </c>
      <c r="H6" s="10">
        <v>1.1871536262333393E-2</v>
      </c>
      <c r="I6" s="10">
        <v>0.97787123918533325</v>
      </c>
      <c r="J6" s="10">
        <v>1.6182593535631895E-3</v>
      </c>
      <c r="K6" s="10">
        <v>0.96280384063720703</v>
      </c>
      <c r="L6" s="10">
        <v>2.453790744766593E-3</v>
      </c>
      <c r="M6" s="10">
        <v>0.16579984128475189</v>
      </c>
      <c r="N6" s="10">
        <v>2.4433370679616928E-2</v>
      </c>
      <c r="O6" s="10">
        <v>0.27619731426239014</v>
      </c>
      <c r="P6" s="10">
        <v>2.3486260324716568E-2</v>
      </c>
      <c r="Q6" s="11"/>
      <c r="R6" s="10">
        <v>0.49012675881385803</v>
      </c>
      <c r="S6" s="10">
        <v>1.4383298344910145E-2</v>
      </c>
      <c r="T6" s="10">
        <v>0.42770642042160034</v>
      </c>
      <c r="U6" s="10">
        <v>1.4005986973643303E-2</v>
      </c>
      <c r="V6" s="10">
        <v>0.77022552490234375</v>
      </c>
      <c r="W6" s="10">
        <v>3.3342685550451279E-2</v>
      </c>
      <c r="X6" s="10">
        <v>0.93623977899551392</v>
      </c>
      <c r="Y6" s="10">
        <v>8.027917705476284E-3</v>
      </c>
      <c r="Z6" s="10">
        <v>0.87103116512298584</v>
      </c>
      <c r="AA6" s="10">
        <v>1.755191758275032E-2</v>
      </c>
      <c r="AB6" s="10">
        <v>-0.12704947590827942</v>
      </c>
      <c r="AC6" s="10">
        <v>3.9586547762155533E-2</v>
      </c>
      <c r="AD6" s="10">
        <v>-0.20819522440433502</v>
      </c>
      <c r="AE6" s="10">
        <v>4.788609966635704E-2</v>
      </c>
      <c r="AF6" s="11"/>
      <c r="AG6" s="10">
        <v>0.66291898488998413</v>
      </c>
      <c r="AH6" s="10">
        <v>3.9170127362012863E-2</v>
      </c>
      <c r="AI6" s="10">
        <v>0.72032254934310913</v>
      </c>
      <c r="AJ6" s="10">
        <v>3.3992789685726166E-2</v>
      </c>
      <c r="AK6" s="10">
        <v>0.77748203277587891</v>
      </c>
      <c r="AL6" s="10">
        <v>3.0430372804403305E-2</v>
      </c>
      <c r="AM6" s="10">
        <v>0.98321110010147095</v>
      </c>
      <c r="AN6" s="10">
        <v>4.4881375506520271E-3</v>
      </c>
      <c r="AO6" s="10">
        <v>0.96438109874725342</v>
      </c>
      <c r="AP6" s="10">
        <v>6.8407687358558178E-3</v>
      </c>
      <c r="AQ6" s="10">
        <v>0.15692640841007233</v>
      </c>
      <c r="AR6" s="10">
        <v>6.2382310628890991E-2</v>
      </c>
      <c r="AS6" s="10">
        <v>0.27278122305870056</v>
      </c>
      <c r="AT6" s="10">
        <v>5.1087968051433563E-2</v>
      </c>
      <c r="AU6" s="7"/>
    </row>
    <row r="7" spans="1:47" x14ac:dyDescent="0.3">
      <c r="A7">
        <v>2006</v>
      </c>
      <c r="C7" s="10">
        <v>0.68684297800064087</v>
      </c>
      <c r="D7" s="10">
        <v>1.460631750524044E-2</v>
      </c>
      <c r="E7" s="10">
        <v>0.78763943910598755</v>
      </c>
      <c r="F7" s="10">
        <v>1.5894938260316849E-2</v>
      </c>
      <c r="G7" s="10">
        <v>0.86766773462295532</v>
      </c>
      <c r="H7" s="10">
        <v>1.2803332880139351E-2</v>
      </c>
      <c r="I7" s="10">
        <v>0.97529798746109009</v>
      </c>
      <c r="J7" s="10">
        <v>1.5193424187600613E-3</v>
      </c>
      <c r="K7" s="10">
        <v>0.96392941474914551</v>
      </c>
      <c r="L7" s="10">
        <v>2.3963321000337601E-3</v>
      </c>
      <c r="M7" s="10">
        <v>0.28833872079849243</v>
      </c>
      <c r="N7" s="10">
        <v>2.4908971041440964E-2</v>
      </c>
      <c r="O7" s="10">
        <v>0.39153650403022766</v>
      </c>
      <c r="P7" s="10">
        <v>2.1633459255099297E-2</v>
      </c>
      <c r="Q7" s="11"/>
      <c r="R7" s="10">
        <v>0.3373686671257019</v>
      </c>
      <c r="S7" s="10">
        <v>1.0325808078050613E-2</v>
      </c>
      <c r="T7" s="10">
        <v>0.31647050380706787</v>
      </c>
      <c r="U7" s="10">
        <v>8.9104063808917999E-3</v>
      </c>
      <c r="V7" s="10">
        <v>0.87973183393478394</v>
      </c>
      <c r="W7" s="10">
        <v>3.3756792545318604E-2</v>
      </c>
      <c r="X7" s="10">
        <v>0.8688967227935791</v>
      </c>
      <c r="Y7" s="10">
        <v>1.3145933859050274E-2</v>
      </c>
      <c r="Z7" s="10">
        <v>0.84625840187072754</v>
      </c>
      <c r="AA7" s="10">
        <v>1.7146173864603043E-2</v>
      </c>
      <c r="AB7" s="10">
        <v>4.442247748374939E-2</v>
      </c>
      <c r="AC7" s="10">
        <v>5.5664047598838806E-2</v>
      </c>
      <c r="AD7" s="10">
        <v>6.7516610026359558E-2</v>
      </c>
      <c r="AE7" s="10">
        <v>5.3328890353441238E-2</v>
      </c>
      <c r="AF7" s="11"/>
      <c r="AG7" s="10">
        <v>0.64405840635299683</v>
      </c>
      <c r="AH7" s="10">
        <v>3.6446869373321533E-2</v>
      </c>
      <c r="AI7" s="10">
        <v>0.71286511421203613</v>
      </c>
      <c r="AJ7" s="10">
        <v>4.0731389075517654E-2</v>
      </c>
      <c r="AK7" s="10">
        <v>0.81680703163146973</v>
      </c>
      <c r="AL7" s="10">
        <v>2.9229190200567245E-2</v>
      </c>
      <c r="AM7" s="10">
        <v>0.97642964124679565</v>
      </c>
      <c r="AN7" s="10">
        <v>4.0280460380017757E-3</v>
      </c>
      <c r="AO7" s="10">
        <v>0.95468634366989136</v>
      </c>
      <c r="AP7" s="10">
        <v>1.0936690494418144E-2</v>
      </c>
      <c r="AQ7" s="10">
        <v>0.27905085682868958</v>
      </c>
      <c r="AR7" s="10">
        <v>6.605636328458786E-2</v>
      </c>
      <c r="AS7" s="10">
        <v>0.38961681723594666</v>
      </c>
      <c r="AT7" s="10">
        <v>6.2985047698020935E-2</v>
      </c>
      <c r="AU7" s="7"/>
    </row>
    <row r="8" spans="1:47" x14ac:dyDescent="0.3">
      <c r="A8">
        <v>2007</v>
      </c>
      <c r="C8" s="10">
        <v>0.64367198944091797</v>
      </c>
      <c r="D8" s="10">
        <v>1.9690880551934242E-2</v>
      </c>
      <c r="E8" s="10">
        <v>0.74794548749923706</v>
      </c>
      <c r="F8" s="10">
        <v>1.9922753795981407E-2</v>
      </c>
      <c r="G8" s="10">
        <v>0.85523116588592529</v>
      </c>
      <c r="H8" s="10">
        <v>1.4268215745687485E-2</v>
      </c>
      <c r="I8" s="10">
        <v>0.97381508350372314</v>
      </c>
      <c r="J8" s="10">
        <v>2.3743375204503536E-3</v>
      </c>
      <c r="K8" s="10">
        <v>0.94254940748214722</v>
      </c>
      <c r="L8" s="10">
        <v>4.8503708094358444E-3</v>
      </c>
      <c r="M8" s="10">
        <v>0.26610761880874634</v>
      </c>
      <c r="N8" s="10">
        <v>2.6436518877744675E-2</v>
      </c>
      <c r="O8" s="10">
        <v>0.40200620889663696</v>
      </c>
      <c r="P8" s="10">
        <v>2.1118687465786934E-2</v>
      </c>
      <c r="Q8" s="11"/>
      <c r="R8" s="10">
        <v>0.35891467332839966</v>
      </c>
      <c r="S8" s="10">
        <v>1.4864038676023483E-2</v>
      </c>
      <c r="T8" s="10">
        <v>0.32781723141670227</v>
      </c>
      <c r="U8" s="10">
        <v>1.6396241262555122E-2</v>
      </c>
      <c r="V8" s="10">
        <v>0.78847509622573853</v>
      </c>
      <c r="W8" s="10">
        <v>3.8599759340286255E-2</v>
      </c>
      <c r="X8" s="10">
        <v>0.91201102733612061</v>
      </c>
      <c r="Y8" s="10">
        <v>1.3194107450544834E-2</v>
      </c>
      <c r="Z8" s="10">
        <v>0.8652656078338623</v>
      </c>
      <c r="AA8" s="10">
        <v>2.2915689274668694E-2</v>
      </c>
      <c r="AB8" s="10">
        <v>-0.24835751950740814</v>
      </c>
      <c r="AC8" s="10">
        <v>5.8846775442361832E-2</v>
      </c>
      <c r="AD8" s="10">
        <v>-0.31450238823890686</v>
      </c>
      <c r="AE8" s="10">
        <v>6.3757330179214478E-2</v>
      </c>
      <c r="AF8" s="11"/>
      <c r="AG8" s="10">
        <v>0.66091072559356689</v>
      </c>
      <c r="AH8" s="10">
        <v>5.3531352430582047E-2</v>
      </c>
      <c r="AI8" s="10">
        <v>0.7022891640663147</v>
      </c>
      <c r="AJ8" s="10">
        <v>5.1005370914936066E-2</v>
      </c>
      <c r="AK8" s="10">
        <v>0.79330331087112427</v>
      </c>
      <c r="AL8" s="10">
        <v>2.9311588034033775E-2</v>
      </c>
      <c r="AM8" s="10">
        <v>0.97400832176208496</v>
      </c>
      <c r="AN8" s="10">
        <v>5.2944361232221127E-3</v>
      </c>
      <c r="AO8" s="10">
        <v>0.94384986162185669</v>
      </c>
      <c r="AP8" s="10">
        <v>1.4419709332287312E-2</v>
      </c>
      <c r="AQ8" s="10">
        <v>0.10879157483577728</v>
      </c>
      <c r="AR8" s="10">
        <v>6.9513820111751556E-2</v>
      </c>
      <c r="AS8" s="10">
        <v>0.2388998419046402</v>
      </c>
      <c r="AT8" s="10">
        <v>6.8184792995452881E-2</v>
      </c>
      <c r="AU8" s="7"/>
    </row>
    <row r="9" spans="1:47" x14ac:dyDescent="0.3">
      <c r="A9">
        <v>2008</v>
      </c>
      <c r="C9" s="10">
        <v>0.66618984937667847</v>
      </c>
      <c r="D9" s="10">
        <v>1.4512478373944759E-2</v>
      </c>
      <c r="E9" s="10">
        <v>0.71909379959106445</v>
      </c>
      <c r="F9" s="10">
        <v>1.4660052955150604E-2</v>
      </c>
      <c r="G9" s="10">
        <v>0.90428787469863892</v>
      </c>
      <c r="H9" s="10">
        <v>1.4648620039224625E-2</v>
      </c>
      <c r="I9" s="10">
        <v>0.97083675861358643</v>
      </c>
      <c r="J9" s="10">
        <v>1.9896398298442364E-3</v>
      </c>
      <c r="K9" s="10">
        <v>0.9556199312210083</v>
      </c>
      <c r="L9" s="10">
        <v>3.4692035987973213E-3</v>
      </c>
      <c r="M9" s="10">
        <v>0.19967637956142426</v>
      </c>
      <c r="N9" s="10">
        <v>2.905721589922905E-2</v>
      </c>
      <c r="O9" s="10">
        <v>0.30604821443557739</v>
      </c>
      <c r="P9" s="10">
        <v>2.6749085634946823E-2</v>
      </c>
      <c r="Q9" s="11"/>
      <c r="R9" s="10">
        <v>0.40196853876113892</v>
      </c>
      <c r="S9" s="10">
        <v>1.5671100467443466E-2</v>
      </c>
      <c r="T9" s="10">
        <v>0.36936306953430176</v>
      </c>
      <c r="U9" s="10">
        <v>1.7172394320368767E-2</v>
      </c>
      <c r="V9" s="10">
        <v>0.83927124738693237</v>
      </c>
      <c r="W9" s="10">
        <v>3.9831094443798065E-2</v>
      </c>
      <c r="X9" s="10">
        <v>0.90844720602035522</v>
      </c>
      <c r="Y9" s="10">
        <v>1.0873192921280861E-2</v>
      </c>
      <c r="Z9" s="10">
        <v>0.82326352596282959</v>
      </c>
      <c r="AA9" s="10">
        <v>2.5268273428082466E-2</v>
      </c>
      <c r="AB9" s="10">
        <v>-0.10321048647165298</v>
      </c>
      <c r="AC9" s="10">
        <v>5.884706974029541E-2</v>
      </c>
      <c r="AD9" s="10">
        <v>9.2138350009918213E-3</v>
      </c>
      <c r="AE9" s="10">
        <v>5.9149749577045441E-2</v>
      </c>
      <c r="AF9" s="11"/>
      <c r="AG9" s="10">
        <v>0.75403344631195068</v>
      </c>
      <c r="AH9" s="10">
        <v>4.1478041559457779E-2</v>
      </c>
      <c r="AI9" s="10">
        <v>0.77708935737609863</v>
      </c>
      <c r="AJ9" s="10">
        <v>4.0195666253566742E-2</v>
      </c>
      <c r="AK9" s="10">
        <v>0.87353557348251343</v>
      </c>
      <c r="AL9" s="10">
        <v>3.3595878630876541E-2</v>
      </c>
      <c r="AM9" s="10">
        <v>0.98257917165756226</v>
      </c>
      <c r="AN9" s="10">
        <v>3.4518353641033173E-3</v>
      </c>
      <c r="AO9" s="10">
        <v>0.97014176845550537</v>
      </c>
      <c r="AP9" s="10">
        <v>5.7816649787127972E-3</v>
      </c>
      <c r="AQ9" s="10">
        <v>0.16399271786212921</v>
      </c>
      <c r="AR9" s="10">
        <v>7.8231446444988251E-2</v>
      </c>
      <c r="AS9" s="10">
        <v>0.28403520584106445</v>
      </c>
      <c r="AT9" s="10">
        <v>6.2128238379955292E-2</v>
      </c>
      <c r="AU9" s="7"/>
    </row>
    <row r="10" spans="1:47" x14ac:dyDescent="0.3">
      <c r="A10">
        <v>2009</v>
      </c>
      <c r="C10" s="10">
        <v>0.69607877731323242</v>
      </c>
      <c r="D10" s="10">
        <v>1.9036222249269485E-2</v>
      </c>
      <c r="E10" s="10">
        <v>0.80075252056121826</v>
      </c>
      <c r="F10" s="10">
        <v>2.0397664979100227E-2</v>
      </c>
      <c r="G10" s="10">
        <v>0.87112843990325928</v>
      </c>
      <c r="H10" s="10">
        <v>1.8022941425442696E-2</v>
      </c>
      <c r="I10" s="10">
        <v>0.97536653280258179</v>
      </c>
      <c r="J10" s="10">
        <v>2.1478161215782166E-3</v>
      </c>
      <c r="K10" s="10">
        <v>0.96340590715408325</v>
      </c>
      <c r="L10" s="10">
        <v>3.5518452059477568E-3</v>
      </c>
      <c r="M10" s="10">
        <v>0.30460861325263977</v>
      </c>
      <c r="N10" s="10">
        <v>3.0796052888035774E-2</v>
      </c>
      <c r="O10" s="10">
        <v>0.36671555042266846</v>
      </c>
      <c r="P10" s="10">
        <v>3.2410833984613419E-2</v>
      </c>
      <c r="Q10" s="11"/>
      <c r="R10" s="10">
        <v>0.37285465002059937</v>
      </c>
      <c r="S10" s="10">
        <v>1.5398116782307625E-2</v>
      </c>
      <c r="T10" s="10">
        <v>0.34984892606735229</v>
      </c>
      <c r="U10" s="10">
        <v>1.8164591863751411E-2</v>
      </c>
      <c r="V10" s="10">
        <v>0.80377829074859619</v>
      </c>
      <c r="W10" s="10">
        <v>4.7319997102022171E-2</v>
      </c>
      <c r="X10" s="10">
        <v>0.89076566696166992</v>
      </c>
      <c r="Y10" s="10">
        <v>1.5456355176866055E-2</v>
      </c>
      <c r="Z10" s="10">
        <v>0.80713248252868652</v>
      </c>
      <c r="AA10" s="10">
        <v>2.9588252305984497E-2</v>
      </c>
      <c r="AB10" s="10">
        <v>-0.19525925815105438</v>
      </c>
      <c r="AC10" s="10">
        <v>6.6357441246509552E-2</v>
      </c>
      <c r="AD10" s="10">
        <v>-0.17291882634162903</v>
      </c>
      <c r="AE10" s="10">
        <v>6.9285325706005096E-2</v>
      </c>
      <c r="AF10" s="11"/>
      <c r="AG10" s="10">
        <v>0.75372552871704102</v>
      </c>
      <c r="AH10" s="10">
        <v>5.2846252918243408E-2</v>
      </c>
      <c r="AI10" s="10">
        <v>0.76208466291427612</v>
      </c>
      <c r="AJ10" s="10">
        <v>5.0600066781044006E-2</v>
      </c>
      <c r="AK10" s="10">
        <v>0.72805386781692505</v>
      </c>
      <c r="AL10" s="10">
        <v>4.073110967874527E-2</v>
      </c>
      <c r="AM10" s="10">
        <v>0.98247915506362915</v>
      </c>
      <c r="AN10" s="10">
        <v>3.6563207395374775E-3</v>
      </c>
      <c r="AO10" s="10">
        <v>0.97544753551483154</v>
      </c>
      <c r="AP10" s="10">
        <v>6.5201269462704659E-3</v>
      </c>
      <c r="AQ10" s="10">
        <v>0.2118840217590332</v>
      </c>
      <c r="AR10" s="10">
        <v>0.10802777111530304</v>
      </c>
      <c r="AS10" s="10">
        <v>0.24903082847595215</v>
      </c>
      <c r="AT10" s="10">
        <v>9.3362569808959961E-2</v>
      </c>
      <c r="AU10" s="7"/>
    </row>
    <row r="11" spans="1:47" x14ac:dyDescent="0.3">
      <c r="A11">
        <v>2010</v>
      </c>
      <c r="C11" s="10">
        <v>0.71804869174957275</v>
      </c>
      <c r="D11" s="10">
        <v>2.1605804562568665E-2</v>
      </c>
      <c r="E11" s="10">
        <v>0.84259706735610962</v>
      </c>
      <c r="F11" s="10">
        <v>2.3066375404596329E-2</v>
      </c>
      <c r="G11" s="10">
        <v>0.94014352560043335</v>
      </c>
      <c r="H11" s="10">
        <v>1.7581108957529068E-2</v>
      </c>
      <c r="I11" s="10">
        <v>0.97332483530044556</v>
      </c>
      <c r="J11" s="10">
        <v>2.1529027726501226E-3</v>
      </c>
      <c r="K11" s="10">
        <v>0.92675185203552246</v>
      </c>
      <c r="L11" s="10">
        <v>6.7707579582929611E-3</v>
      </c>
      <c r="M11" s="10">
        <v>0.18924134969711304</v>
      </c>
      <c r="N11" s="10">
        <v>3.0871622264385223E-2</v>
      </c>
      <c r="O11" s="10">
        <v>0.27592039108276367</v>
      </c>
      <c r="P11" s="10">
        <v>2.723580040037632E-2</v>
      </c>
      <c r="Q11" s="11"/>
      <c r="R11" s="10">
        <v>0.4616924524307251</v>
      </c>
      <c r="S11" s="10">
        <v>1.719304546713829E-2</v>
      </c>
      <c r="T11" s="10">
        <v>0.41890555620193481</v>
      </c>
      <c r="U11" s="10">
        <v>1.6243288293480873E-2</v>
      </c>
      <c r="V11" s="10">
        <v>0.9602736234664917</v>
      </c>
      <c r="W11" s="10">
        <v>3.9224289357662201E-2</v>
      </c>
      <c r="X11" s="10">
        <v>0.91863358020782471</v>
      </c>
      <c r="Y11" s="10">
        <v>1.275396253913641E-2</v>
      </c>
      <c r="Z11" s="10">
        <v>0.90613460540771484</v>
      </c>
      <c r="AA11" s="10">
        <v>1.1563137173652649E-2</v>
      </c>
      <c r="AB11" s="10">
        <v>-0.20353291928768158</v>
      </c>
      <c r="AC11" s="10">
        <v>6.5104730427265167E-2</v>
      </c>
      <c r="AD11" s="10">
        <v>-0.28944507241249084</v>
      </c>
      <c r="AE11" s="10">
        <v>5.5911533534526825E-2</v>
      </c>
      <c r="AF11" s="11"/>
      <c r="AG11" s="10">
        <v>0.75558710098266602</v>
      </c>
      <c r="AH11" s="10">
        <v>4.5720353722572327E-2</v>
      </c>
      <c r="AI11" s="10">
        <v>0.79231643676757813</v>
      </c>
      <c r="AJ11" s="10">
        <v>5.0207540392875671E-2</v>
      </c>
      <c r="AK11" s="10">
        <v>0.800362229347229</v>
      </c>
      <c r="AL11" s="10">
        <v>5.0803564488887787E-2</v>
      </c>
      <c r="AM11" s="10">
        <v>0.98283553123474121</v>
      </c>
      <c r="AN11" s="10">
        <v>3.7649183068424463E-3</v>
      </c>
      <c r="AO11" s="10">
        <v>0.95039945840835571</v>
      </c>
      <c r="AP11" s="10">
        <v>1.1968005448579788E-2</v>
      </c>
      <c r="AQ11" s="10">
        <v>8.8144004344940186E-2</v>
      </c>
      <c r="AR11" s="10">
        <v>7.9940125346183777E-2</v>
      </c>
      <c r="AS11" s="10">
        <v>0.14474624395370483</v>
      </c>
      <c r="AT11" s="10">
        <v>6.7898914217948914E-2</v>
      </c>
      <c r="AU11" s="7"/>
    </row>
    <row r="12" spans="1:47" x14ac:dyDescent="0.3">
      <c r="A12">
        <v>2011</v>
      </c>
      <c r="C12" s="10">
        <v>0.72203665971755981</v>
      </c>
      <c r="D12" s="10">
        <v>2.0685844123363495E-2</v>
      </c>
      <c r="E12" s="10">
        <v>0.81623160839080811</v>
      </c>
      <c r="F12" s="10">
        <v>1.8255861476063728E-2</v>
      </c>
      <c r="G12" s="10">
        <v>0.9498521089553833</v>
      </c>
      <c r="H12" s="10">
        <v>1.9411712884902954E-2</v>
      </c>
      <c r="I12" s="10">
        <v>0.97498691082000732</v>
      </c>
      <c r="J12" s="10">
        <v>2.064199186861515E-3</v>
      </c>
      <c r="K12" s="10">
        <v>0.95972806215286255</v>
      </c>
      <c r="L12" s="10">
        <v>3.646140918135643E-3</v>
      </c>
      <c r="M12" s="10">
        <v>0.22515258193016052</v>
      </c>
      <c r="N12" s="10">
        <v>2.8864618390798569E-2</v>
      </c>
      <c r="O12" s="10">
        <v>0.33041322231292725</v>
      </c>
      <c r="P12" s="10">
        <v>2.9001498594880104E-2</v>
      </c>
      <c r="Q12" s="11"/>
      <c r="R12" s="10">
        <v>0.40086749196052551</v>
      </c>
      <c r="S12" s="10">
        <v>2.1521750837564468E-2</v>
      </c>
      <c r="T12" s="10">
        <v>0.35665935277938843</v>
      </c>
      <c r="U12" s="10">
        <v>1.8975978717207909E-2</v>
      </c>
      <c r="V12" s="10">
        <v>1.0233256816864014</v>
      </c>
      <c r="W12" s="10">
        <v>5.0601128488779068E-2</v>
      </c>
      <c r="X12" s="10">
        <v>0.88408190011978149</v>
      </c>
      <c r="Y12" s="10">
        <v>1.9789513200521469E-2</v>
      </c>
      <c r="Z12" s="10">
        <v>0.85230374336242676</v>
      </c>
      <c r="AA12" s="10">
        <v>2.0611589774489403E-2</v>
      </c>
      <c r="AB12" s="10">
        <v>-0.21821610629558563</v>
      </c>
      <c r="AC12" s="10">
        <v>4.9614127725362778E-2</v>
      </c>
      <c r="AD12" s="10">
        <v>-0.29453733563423157</v>
      </c>
      <c r="AE12" s="10">
        <v>6.3162781298160553E-2</v>
      </c>
      <c r="AF12" s="11"/>
      <c r="AG12" s="10">
        <v>0.67443901300430298</v>
      </c>
      <c r="AH12" s="10">
        <v>6.7311696708202362E-2</v>
      </c>
      <c r="AI12" s="10">
        <v>0.77238291501998901</v>
      </c>
      <c r="AJ12" s="10">
        <v>6.4752526581287384E-2</v>
      </c>
      <c r="AK12" s="10">
        <v>0.77426773309707642</v>
      </c>
      <c r="AL12" s="10">
        <v>5.469021201133728E-2</v>
      </c>
      <c r="AM12" s="10">
        <v>0.98220783472061157</v>
      </c>
      <c r="AN12" s="10">
        <v>4.9186600372195244E-3</v>
      </c>
      <c r="AO12" s="10">
        <v>0.96970933675765991</v>
      </c>
      <c r="AP12" s="10">
        <v>9.1243572533130646E-3</v>
      </c>
      <c r="AQ12" s="10">
        <v>0.11234211921691895</v>
      </c>
      <c r="AR12" s="10">
        <v>7.7743299305438995E-2</v>
      </c>
      <c r="AS12" s="10">
        <v>0.18745061755180359</v>
      </c>
      <c r="AT12" s="10">
        <v>9.651513397693634E-2</v>
      </c>
      <c r="AU12" s="7"/>
    </row>
    <row r="13" spans="1:47" x14ac:dyDescent="0.3">
      <c r="A13">
        <v>2012</v>
      </c>
      <c r="C13" s="10">
        <v>0.95458263158798218</v>
      </c>
      <c r="D13" s="10">
        <v>2.7252338826656342E-2</v>
      </c>
      <c r="E13" s="10">
        <v>1.0526037216186523</v>
      </c>
      <c r="F13" s="10">
        <v>2.8692521154880524E-2</v>
      </c>
      <c r="G13" s="10">
        <v>0.89911329746246338</v>
      </c>
      <c r="H13" s="10">
        <v>1.7622938379645348E-2</v>
      </c>
      <c r="I13" s="10">
        <v>0.98573887348175049</v>
      </c>
      <c r="J13" s="10">
        <v>1.325574703514576E-3</v>
      </c>
      <c r="K13" s="10">
        <v>0.97098928689956665</v>
      </c>
      <c r="L13" s="10">
        <v>3.078181529417634E-3</v>
      </c>
      <c r="M13" s="10">
        <v>0.31373381614685059</v>
      </c>
      <c r="N13" s="10">
        <v>2.4890167638659477E-2</v>
      </c>
      <c r="O13" s="10">
        <v>0.41756889224052429</v>
      </c>
      <c r="P13" s="10">
        <v>2.201116643846035E-2</v>
      </c>
      <c r="Q13" s="11"/>
      <c r="R13" s="10">
        <v>0.40689077973365784</v>
      </c>
      <c r="S13" s="10">
        <v>2.2158613428473473E-2</v>
      </c>
      <c r="T13" s="10">
        <v>0.37386119365692139</v>
      </c>
      <c r="U13" s="10">
        <v>2.2096538916230202E-2</v>
      </c>
      <c r="V13" s="10">
        <v>0.79895991086959839</v>
      </c>
      <c r="W13" s="10">
        <v>4.9631476402282715E-2</v>
      </c>
      <c r="X13" s="10">
        <v>0.90417993068695068</v>
      </c>
      <c r="Y13" s="10">
        <v>1.9433174282312393E-2</v>
      </c>
      <c r="Z13" s="10">
        <v>0.83938759565353394</v>
      </c>
      <c r="AA13" s="10">
        <v>2.7754498645663261E-2</v>
      </c>
      <c r="AB13" s="10">
        <v>-2.2125447168946266E-2</v>
      </c>
      <c r="AC13" s="10">
        <v>5.6639775633811951E-2</v>
      </c>
      <c r="AD13" s="10">
        <v>-8.2027524709701538E-2</v>
      </c>
      <c r="AE13" s="10">
        <v>6.909005343914032E-2</v>
      </c>
      <c r="AF13" s="11"/>
      <c r="AG13" s="10">
        <v>0.78429388999938965</v>
      </c>
      <c r="AH13" s="10">
        <v>5.9520088136196136E-2</v>
      </c>
      <c r="AI13" s="10">
        <v>0.91340351104736328</v>
      </c>
      <c r="AJ13" s="10">
        <v>9.8562777042388916E-2</v>
      </c>
      <c r="AK13" s="10">
        <v>0.79879432916641235</v>
      </c>
      <c r="AL13" s="10">
        <v>4.6302329748868942E-2</v>
      </c>
      <c r="AM13" s="10">
        <v>0.9894254207611084</v>
      </c>
      <c r="AN13" s="10">
        <v>3.9847125299274921E-3</v>
      </c>
      <c r="AO13" s="10">
        <v>0.97433406114578247</v>
      </c>
      <c r="AP13" s="10">
        <v>1.0467667132616043E-2</v>
      </c>
      <c r="AQ13" s="10">
        <v>-3.4528624266386032E-2</v>
      </c>
      <c r="AR13" s="10">
        <v>8.7877996265888214E-2</v>
      </c>
      <c r="AS13" s="10">
        <v>6.0944013297557831E-2</v>
      </c>
      <c r="AT13" s="10">
        <v>9.1233529150485992E-2</v>
      </c>
      <c r="AU13" s="7"/>
    </row>
    <row r="14" spans="1:47" x14ac:dyDescent="0.3">
      <c r="A14">
        <v>2013</v>
      </c>
      <c r="C14" s="10">
        <v>1.0494177341461182</v>
      </c>
      <c r="D14" s="10">
        <v>3.1074492260813713E-2</v>
      </c>
      <c r="E14" s="10">
        <v>1.1789027452468872</v>
      </c>
      <c r="F14" s="10">
        <v>3.1275041401386261E-2</v>
      </c>
      <c r="G14" s="10">
        <v>0.97073757648468018</v>
      </c>
      <c r="H14" s="10">
        <v>2.0508324727416039E-2</v>
      </c>
      <c r="I14" s="10">
        <v>0.98505043983459473</v>
      </c>
      <c r="J14" s="10">
        <v>1.3883180217817426E-3</v>
      </c>
      <c r="K14" s="10">
        <v>0.97373819351196289</v>
      </c>
      <c r="L14" s="10">
        <v>3.674833569675684E-3</v>
      </c>
      <c r="M14" s="10">
        <v>0.2025257796049118</v>
      </c>
      <c r="N14" s="10">
        <v>3.3074572682380676E-2</v>
      </c>
      <c r="O14" s="10">
        <v>0.31549239158630371</v>
      </c>
      <c r="P14" s="10">
        <v>3.1261827796697617E-2</v>
      </c>
      <c r="Q14" s="11"/>
      <c r="R14" s="10">
        <v>0.4692138135433197</v>
      </c>
      <c r="S14" s="10">
        <v>2.6721999049186707E-2</v>
      </c>
      <c r="T14" s="10">
        <v>0.45474347472190857</v>
      </c>
      <c r="U14" s="10">
        <v>2.4287261068820953E-2</v>
      </c>
      <c r="V14" s="10">
        <v>1.013920783996582</v>
      </c>
      <c r="W14" s="10">
        <v>4.8972610384225845E-2</v>
      </c>
      <c r="X14" s="10">
        <v>0.92480969429016113</v>
      </c>
      <c r="Y14" s="10">
        <v>1.3301726430654526E-2</v>
      </c>
      <c r="Z14" s="10">
        <v>0.87470078468322754</v>
      </c>
      <c r="AA14" s="10">
        <v>2.0555196329951286E-2</v>
      </c>
      <c r="AB14" s="10">
        <v>-0.24530120193958282</v>
      </c>
      <c r="AC14" s="10">
        <v>5.8006402105093002E-2</v>
      </c>
      <c r="AD14" s="10">
        <v>-0.21731550991535187</v>
      </c>
      <c r="AE14" s="10">
        <v>6.4222328364849091E-2</v>
      </c>
      <c r="AF14" s="11"/>
      <c r="AG14" s="10">
        <v>0.74174535274505615</v>
      </c>
      <c r="AH14" s="10">
        <v>7.4029460549354553E-2</v>
      </c>
      <c r="AI14" s="10">
        <v>0.86890429258346558</v>
      </c>
      <c r="AJ14" s="10">
        <v>0.11693122237920761</v>
      </c>
      <c r="AK14" s="10">
        <v>0.88668680191040039</v>
      </c>
      <c r="AL14" s="10">
        <v>6.9758981466293335E-2</v>
      </c>
      <c r="AM14" s="10">
        <v>0.9815748929977417</v>
      </c>
      <c r="AN14" s="10">
        <v>5.2528516389429569E-3</v>
      </c>
      <c r="AO14" s="10">
        <v>0.94658386707305908</v>
      </c>
      <c r="AP14" s="10">
        <v>2.2513436153531075E-2</v>
      </c>
      <c r="AQ14" s="10">
        <v>0.18519946932792664</v>
      </c>
      <c r="AR14" s="10">
        <v>8.6692050099372864E-2</v>
      </c>
      <c r="AS14" s="10">
        <v>0.29204279184341431</v>
      </c>
      <c r="AT14" s="10">
        <v>9.2989876866340637E-2</v>
      </c>
      <c r="AU14" s="7"/>
    </row>
  </sheetData>
  <mergeCells count="21">
    <mergeCell ref="I3:J3"/>
    <mergeCell ref="K3:L3"/>
    <mergeCell ref="I2:L2"/>
    <mergeCell ref="AB2:AE2"/>
    <mergeCell ref="AB3:AC3"/>
    <mergeCell ref="AD3:AE3"/>
    <mergeCell ref="C1:P1"/>
    <mergeCell ref="R1:AE1"/>
    <mergeCell ref="AG1:AT1"/>
    <mergeCell ref="AM2:AP2"/>
    <mergeCell ref="AQ2:AT2"/>
    <mergeCell ref="AM3:AN3"/>
    <mergeCell ref="AO3:AP3"/>
    <mergeCell ref="AQ3:AR3"/>
    <mergeCell ref="AS3:AT3"/>
    <mergeCell ref="M2:P2"/>
    <mergeCell ref="M3:N3"/>
    <mergeCell ref="O3:P3"/>
    <mergeCell ref="X2:AA2"/>
    <mergeCell ref="X3:Y3"/>
    <mergeCell ref="Z3:AA3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0A50-733F-4162-8F71-32ADE05D24D3}">
  <dimension ref="A1:AU14"/>
  <sheetViews>
    <sheetView topLeftCell="P1" workbookViewId="0">
      <selection activeCell="V15" sqref="V15"/>
    </sheetView>
  </sheetViews>
  <sheetFormatPr defaultColWidth="8.77734375" defaultRowHeight="14.4" x14ac:dyDescent="0.3"/>
  <sheetData>
    <row r="1" spans="1:47" x14ac:dyDescent="0.3">
      <c r="C1" s="21" t="s">
        <v>51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R1" s="21" t="s">
        <v>53</v>
      </c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"/>
      <c r="AG1" s="21" t="s">
        <v>54</v>
      </c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"/>
    </row>
    <row r="2" spans="1:47" x14ac:dyDescent="0.3">
      <c r="C2" t="s">
        <v>39</v>
      </c>
      <c r="E2" t="s">
        <v>40</v>
      </c>
      <c r="G2" t="s">
        <v>49</v>
      </c>
      <c r="I2" s="21" t="s">
        <v>50</v>
      </c>
      <c r="J2" s="21"/>
      <c r="K2" s="21"/>
      <c r="L2" s="21"/>
      <c r="M2" s="21" t="s">
        <v>52</v>
      </c>
      <c r="N2" s="21"/>
      <c r="O2" s="21"/>
      <c r="P2" s="21"/>
      <c r="R2" t="s">
        <v>39</v>
      </c>
      <c r="T2" t="s">
        <v>40</v>
      </c>
      <c r="V2" t="s">
        <v>49</v>
      </c>
      <c r="X2" s="21" t="s">
        <v>50</v>
      </c>
      <c r="Y2" s="21"/>
      <c r="Z2" s="21"/>
      <c r="AA2" s="21"/>
      <c r="AB2" s="21" t="s">
        <v>52</v>
      </c>
      <c r="AC2" s="21"/>
      <c r="AD2" s="21"/>
      <c r="AE2" s="21"/>
      <c r="AF2" s="2"/>
      <c r="AG2" t="s">
        <v>39</v>
      </c>
      <c r="AI2" t="s">
        <v>40</v>
      </c>
      <c r="AK2" t="s">
        <v>49</v>
      </c>
      <c r="AM2" s="21" t="s">
        <v>50</v>
      </c>
      <c r="AN2" s="21"/>
      <c r="AO2" s="21"/>
      <c r="AP2" s="21"/>
      <c r="AQ2" s="21" t="s">
        <v>52</v>
      </c>
      <c r="AR2" s="21"/>
      <c r="AS2" s="21"/>
      <c r="AT2" s="21"/>
      <c r="AU2" s="2"/>
    </row>
    <row r="3" spans="1:47" x14ac:dyDescent="0.3">
      <c r="I3" s="21" t="s">
        <v>41</v>
      </c>
      <c r="J3" s="21"/>
      <c r="K3" s="21" t="s">
        <v>42</v>
      </c>
      <c r="L3" s="21"/>
      <c r="M3" s="21" t="s">
        <v>41</v>
      </c>
      <c r="N3" s="21"/>
      <c r="O3" s="21" t="s">
        <v>42</v>
      </c>
      <c r="P3" s="21"/>
      <c r="X3" s="21" t="s">
        <v>41</v>
      </c>
      <c r="Y3" s="21"/>
      <c r="Z3" s="21" t="s">
        <v>42</v>
      </c>
      <c r="AA3" s="21"/>
      <c r="AB3" s="21" t="s">
        <v>41</v>
      </c>
      <c r="AC3" s="21"/>
      <c r="AD3" s="21" t="s">
        <v>42</v>
      </c>
      <c r="AE3" s="21"/>
      <c r="AM3" s="21" t="s">
        <v>41</v>
      </c>
      <c r="AN3" s="21"/>
      <c r="AO3" s="21" t="s">
        <v>42</v>
      </c>
      <c r="AP3" s="21"/>
      <c r="AQ3" s="21" t="s">
        <v>41</v>
      </c>
      <c r="AR3" s="21"/>
      <c r="AS3" s="21" t="s">
        <v>42</v>
      </c>
      <c r="AT3" s="21"/>
    </row>
    <row r="4" spans="1:47" x14ac:dyDescent="0.3">
      <c r="A4">
        <v>2003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7"/>
    </row>
    <row r="5" spans="1:47" x14ac:dyDescent="0.3">
      <c r="A5">
        <v>2004</v>
      </c>
      <c r="C5" s="13">
        <v>0.56635165214538574</v>
      </c>
      <c r="D5" s="13">
        <v>1.0657202452421188E-2</v>
      </c>
      <c r="E5" s="13">
        <v>0.59750854969024658</v>
      </c>
      <c r="F5" s="13">
        <v>1.0501519776880741E-2</v>
      </c>
      <c r="G5" s="13">
        <v>0.8351399302482605</v>
      </c>
      <c r="H5" s="13">
        <v>1.1896558105945587E-2</v>
      </c>
      <c r="I5" s="13">
        <v>0.95958948135375977</v>
      </c>
      <c r="J5" s="13">
        <v>2.1203602664172649E-3</v>
      </c>
      <c r="K5" s="13">
        <v>0.95069593191146851</v>
      </c>
      <c r="L5" s="13">
        <v>3.1726774759590626E-3</v>
      </c>
      <c r="M5" s="13">
        <v>0.22200487554073334</v>
      </c>
      <c r="N5" s="13">
        <v>2.6174461469054222E-2</v>
      </c>
      <c r="O5" s="13">
        <v>0.28689247369766235</v>
      </c>
      <c r="P5" s="13">
        <v>2.2903189063072205E-2</v>
      </c>
      <c r="Q5" s="14"/>
      <c r="R5" s="13">
        <v>0.32711607217788696</v>
      </c>
      <c r="S5" s="13">
        <v>1.0102024301886559E-2</v>
      </c>
      <c r="T5" s="13">
        <v>0.27843403816223145</v>
      </c>
      <c r="U5" s="13">
        <v>1.0214129462838173E-2</v>
      </c>
      <c r="V5" s="13">
        <v>0.90704357624053955</v>
      </c>
      <c r="W5" s="13">
        <v>3.02781593054533E-2</v>
      </c>
      <c r="X5" s="13">
        <v>0.86812698841094971</v>
      </c>
      <c r="Y5" s="13">
        <v>1.2080016545951366E-2</v>
      </c>
      <c r="Z5" s="13">
        <v>0.82047683000564575</v>
      </c>
      <c r="AA5" s="13">
        <v>1.872173510491848E-2</v>
      </c>
      <c r="AB5" s="13">
        <v>-0.15258146822452545</v>
      </c>
      <c r="AC5" s="13">
        <v>4.1860222816467285E-2</v>
      </c>
      <c r="AD5" s="13">
        <v>-0.17187005281448364</v>
      </c>
      <c r="AE5" s="13">
        <v>4.7645207494497299E-2</v>
      </c>
      <c r="AF5" s="14"/>
      <c r="AG5" s="13">
        <v>0.56849211454391479</v>
      </c>
      <c r="AH5" s="13">
        <v>3.1035006046295166E-2</v>
      </c>
      <c r="AI5" s="13">
        <v>0.59082764387130737</v>
      </c>
      <c r="AJ5" s="13">
        <v>2.7190081775188446E-2</v>
      </c>
      <c r="AK5" s="13">
        <v>0.79458767175674438</v>
      </c>
      <c r="AL5" s="13">
        <v>3.2415986061096191E-2</v>
      </c>
      <c r="AM5" s="13">
        <v>0.96724784374237061</v>
      </c>
      <c r="AN5" s="13">
        <v>5.3369477391242981E-3</v>
      </c>
      <c r="AO5" s="13">
        <v>0.95905798673629761</v>
      </c>
      <c r="AP5" s="13">
        <v>6.2944698147475719E-3</v>
      </c>
      <c r="AQ5" s="13">
        <v>0.17902052402496338</v>
      </c>
      <c r="AR5" s="13">
        <v>6.1484314501285553E-2</v>
      </c>
      <c r="AS5" s="13">
        <v>0.22700841724872589</v>
      </c>
      <c r="AT5" s="13">
        <v>5.6246615946292877E-2</v>
      </c>
      <c r="AU5" s="8"/>
    </row>
    <row r="6" spans="1:47" x14ac:dyDescent="0.3">
      <c r="A6">
        <v>2005</v>
      </c>
      <c r="C6" s="10">
        <v>0.6306990385055542</v>
      </c>
      <c r="D6" s="10">
        <v>1.1076288297772408E-2</v>
      </c>
      <c r="E6" s="10">
        <v>0.67157912254333496</v>
      </c>
      <c r="F6" s="10">
        <v>1.0696564801037312E-2</v>
      </c>
      <c r="G6" s="10">
        <v>0.80973643064498901</v>
      </c>
      <c r="H6" s="10">
        <v>1.1384587734937668E-2</v>
      </c>
      <c r="I6" s="10">
        <v>0.96851980686187744</v>
      </c>
      <c r="J6" s="10">
        <v>1.8507362110540271E-3</v>
      </c>
      <c r="K6" s="10">
        <v>0.95885080099105835</v>
      </c>
      <c r="L6" s="10">
        <v>2.869417192414403E-3</v>
      </c>
      <c r="M6" s="10">
        <v>0.2332681268453598</v>
      </c>
      <c r="N6" s="10">
        <v>2.3449501022696495E-2</v>
      </c>
      <c r="O6" s="10">
        <v>0.32510298490524292</v>
      </c>
      <c r="P6" s="10">
        <v>2.3682750761508942E-2</v>
      </c>
      <c r="Q6" s="11"/>
      <c r="R6" s="10">
        <v>0.35944724082946777</v>
      </c>
      <c r="S6" s="10">
        <v>1.0336512699723244E-2</v>
      </c>
      <c r="T6" s="10">
        <v>0.29654866456985474</v>
      </c>
      <c r="U6" s="10">
        <v>9.6254115924239159E-3</v>
      </c>
      <c r="V6" s="10">
        <v>0.78654474020004272</v>
      </c>
      <c r="W6" s="10">
        <v>3.2620340585708618E-2</v>
      </c>
      <c r="X6" s="10">
        <v>0.89671564102172852</v>
      </c>
      <c r="Y6" s="10">
        <v>1.1249720118939877E-2</v>
      </c>
      <c r="Z6" s="10">
        <v>0.86525684595108032</v>
      </c>
      <c r="AA6" s="10">
        <v>1.825309544801712E-2</v>
      </c>
      <c r="AB6" s="10">
        <v>-0.1691405177116394</v>
      </c>
      <c r="AC6" s="10">
        <v>4.3375220149755478E-2</v>
      </c>
      <c r="AD6" s="10">
        <v>-0.24903503060340881</v>
      </c>
      <c r="AE6" s="10">
        <v>4.2485401034355164E-2</v>
      </c>
      <c r="AF6" s="11"/>
      <c r="AG6" s="10">
        <v>0.53367257118225098</v>
      </c>
      <c r="AH6" s="10">
        <v>2.4793006479740143E-2</v>
      </c>
      <c r="AI6" s="10">
        <v>0.58263164758682251</v>
      </c>
      <c r="AJ6" s="10">
        <v>2.6476055383682251E-2</v>
      </c>
      <c r="AK6" s="10">
        <v>0.77748203277587891</v>
      </c>
      <c r="AL6" s="10">
        <v>2.9073521494865417E-2</v>
      </c>
      <c r="AM6" s="10">
        <v>0.9697573184967041</v>
      </c>
      <c r="AN6" s="10">
        <v>4.1960179805755615E-3</v>
      </c>
      <c r="AO6" s="10">
        <v>0.95391243696212769</v>
      </c>
      <c r="AP6" s="10">
        <v>7.0792627520859241E-3</v>
      </c>
      <c r="AQ6" s="10">
        <v>0.19603624939918518</v>
      </c>
      <c r="AR6" s="10">
        <v>5.4198268800973892E-2</v>
      </c>
      <c r="AS6" s="10">
        <v>0.31555995345115662</v>
      </c>
      <c r="AT6" s="10">
        <v>6.1415459960699081E-2</v>
      </c>
      <c r="AU6" s="7"/>
    </row>
    <row r="7" spans="1:47" x14ac:dyDescent="0.3">
      <c r="A7">
        <v>2006</v>
      </c>
      <c r="C7" s="10">
        <v>0.59151899814605713</v>
      </c>
      <c r="D7" s="10">
        <v>9.0126246213912964E-3</v>
      </c>
      <c r="E7" s="10">
        <v>0.64758992195129395</v>
      </c>
      <c r="F7" s="10">
        <v>1.1337739415466785E-2</v>
      </c>
      <c r="G7" s="10">
        <v>0.86766773462295532</v>
      </c>
      <c r="H7" s="10">
        <v>1.1799369007349014E-2</v>
      </c>
      <c r="I7" s="10">
        <v>0.96540117263793945</v>
      </c>
      <c r="J7" s="10">
        <v>1.820265781134367E-3</v>
      </c>
      <c r="K7" s="10">
        <v>0.9540407657623291</v>
      </c>
      <c r="L7" s="10">
        <v>3.2477921340614557E-3</v>
      </c>
      <c r="M7" s="10">
        <v>0.32433664798736572</v>
      </c>
      <c r="N7" s="10">
        <v>2.3353414610028267E-2</v>
      </c>
      <c r="O7" s="10">
        <v>0.41037976741790771</v>
      </c>
      <c r="P7" s="10">
        <v>1.9357986748218536E-2</v>
      </c>
      <c r="Q7" s="11"/>
      <c r="R7" s="10">
        <v>0.3437882661819458</v>
      </c>
      <c r="S7" s="10">
        <v>9.7902901470661163E-3</v>
      </c>
      <c r="T7" s="10">
        <v>0.28961116075515747</v>
      </c>
      <c r="U7" s="10">
        <v>8.2677248865365982E-3</v>
      </c>
      <c r="V7" s="10">
        <v>0.8703886866569519</v>
      </c>
      <c r="W7" s="10">
        <v>3.811170905828476E-2</v>
      </c>
      <c r="X7" s="10">
        <v>0.8689882755279541</v>
      </c>
      <c r="Y7" s="10">
        <v>1.3438415713608265E-2</v>
      </c>
      <c r="Z7" s="10">
        <v>0.83695608377456665</v>
      </c>
      <c r="AA7" s="10">
        <v>1.6499290242791176E-2</v>
      </c>
      <c r="AB7" s="10">
        <v>-0.13234332203865051</v>
      </c>
      <c r="AC7" s="10">
        <v>4.8273522406816483E-2</v>
      </c>
      <c r="AD7" s="10">
        <v>-0.18380478024482727</v>
      </c>
      <c r="AE7" s="10">
        <v>4.8582836985588074E-2</v>
      </c>
      <c r="AF7" s="11"/>
      <c r="AG7" s="10">
        <v>0.5096096396446228</v>
      </c>
      <c r="AH7" s="10">
        <v>2.8091516345739365E-2</v>
      </c>
      <c r="AI7" s="10">
        <v>0.54492861032485962</v>
      </c>
      <c r="AJ7" s="10">
        <v>2.439022995531559E-2</v>
      </c>
      <c r="AK7" s="10">
        <v>0.81680703163146973</v>
      </c>
      <c r="AL7" s="10">
        <v>3.2856598496437073E-2</v>
      </c>
      <c r="AM7" s="10">
        <v>0.96964383125305176</v>
      </c>
      <c r="AN7" s="10">
        <v>5.0424444489181042E-3</v>
      </c>
      <c r="AO7" s="10">
        <v>0.95350265502929688</v>
      </c>
      <c r="AP7" s="10">
        <v>7.5520342215895653E-3</v>
      </c>
      <c r="AQ7" s="10">
        <v>0.26154819130897522</v>
      </c>
      <c r="AR7" s="10">
        <v>6.4088523387908936E-2</v>
      </c>
      <c r="AS7" s="10">
        <v>0.35828578472137451</v>
      </c>
      <c r="AT7" s="10">
        <v>5.7488441467285156E-2</v>
      </c>
      <c r="AU7" s="7"/>
    </row>
    <row r="8" spans="1:47" x14ac:dyDescent="0.3">
      <c r="A8">
        <v>2007</v>
      </c>
      <c r="C8" s="10">
        <v>0.53690260648727417</v>
      </c>
      <c r="D8" s="10">
        <v>1.2067263945937157E-2</v>
      </c>
      <c r="E8" s="10">
        <v>0.60015487670898438</v>
      </c>
      <c r="F8" s="10">
        <v>1.3013748452067375E-2</v>
      </c>
      <c r="G8" s="10">
        <v>0.85523116588592529</v>
      </c>
      <c r="H8" s="10">
        <v>1.2624999508261681E-2</v>
      </c>
      <c r="I8" s="10">
        <v>0.95850449800491333</v>
      </c>
      <c r="J8" s="10">
        <v>2.8737492393702269E-3</v>
      </c>
      <c r="K8" s="10">
        <v>0.94006383419036865</v>
      </c>
      <c r="L8" s="10">
        <v>3.935882356017828E-3</v>
      </c>
      <c r="M8" s="10">
        <v>0.34737557172775269</v>
      </c>
      <c r="N8" s="10">
        <v>2.9983239248394966E-2</v>
      </c>
      <c r="O8" s="10">
        <v>0.45070219039916992</v>
      </c>
      <c r="P8" s="10">
        <v>2.2803494706749916E-2</v>
      </c>
      <c r="Q8" s="11"/>
      <c r="R8" s="10">
        <v>0.27996265888214111</v>
      </c>
      <c r="S8" s="10">
        <v>1.3492272235453129E-2</v>
      </c>
      <c r="T8" s="10">
        <v>0.25969964265823364</v>
      </c>
      <c r="U8" s="10">
        <v>1.2689866125583649E-2</v>
      </c>
      <c r="V8" s="10">
        <v>0.79772067070007324</v>
      </c>
      <c r="W8" s="10">
        <v>4.0339458733797073E-2</v>
      </c>
      <c r="X8" s="10">
        <v>0.870708167552948</v>
      </c>
      <c r="Y8" s="10">
        <v>2.2423332557082176E-2</v>
      </c>
      <c r="Z8" s="10">
        <v>0.79811930656433105</v>
      </c>
      <c r="AA8" s="10">
        <v>3.0054293572902679E-2</v>
      </c>
      <c r="AB8" s="10">
        <v>-0.21009883284568787</v>
      </c>
      <c r="AC8" s="10">
        <v>6.879773736000061E-2</v>
      </c>
      <c r="AD8" s="10">
        <v>-0.19638165831565857</v>
      </c>
      <c r="AE8" s="10">
        <v>5.7934243232011795E-2</v>
      </c>
      <c r="AF8" s="11"/>
      <c r="AG8" s="10">
        <v>0.48833811283111572</v>
      </c>
      <c r="AH8" s="10">
        <v>3.2534729689359665E-2</v>
      </c>
      <c r="AI8" s="10">
        <v>0.51898086071014404</v>
      </c>
      <c r="AJ8" s="10">
        <v>2.8715135529637337E-2</v>
      </c>
      <c r="AK8" s="10">
        <v>0.79330331087112427</v>
      </c>
      <c r="AL8" s="10">
        <v>3.6892618983983994E-2</v>
      </c>
      <c r="AM8" s="10">
        <v>0.96271055936813354</v>
      </c>
      <c r="AN8" s="10">
        <v>6.8779801949858665E-3</v>
      </c>
      <c r="AO8" s="10">
        <v>0.93815982341766357</v>
      </c>
      <c r="AP8" s="10">
        <v>1.0657635517418385E-2</v>
      </c>
      <c r="AQ8" s="10">
        <v>0.13980394601821899</v>
      </c>
      <c r="AR8" s="10">
        <v>6.840977817773819E-2</v>
      </c>
      <c r="AS8" s="10">
        <v>0.25897711515426636</v>
      </c>
      <c r="AT8" s="10">
        <v>6.9401338696479797E-2</v>
      </c>
      <c r="AU8" s="7"/>
    </row>
    <row r="9" spans="1:47" x14ac:dyDescent="0.3">
      <c r="A9">
        <v>2008</v>
      </c>
      <c r="C9" s="10">
        <v>0.57237350940704346</v>
      </c>
      <c r="D9" s="10">
        <v>1.1713944375514984E-2</v>
      </c>
      <c r="E9" s="10">
        <v>0.62309938669204712</v>
      </c>
      <c r="F9" s="10">
        <v>1.2506631202995777E-2</v>
      </c>
      <c r="G9" s="10">
        <v>0.90428787469863892</v>
      </c>
      <c r="H9" s="10">
        <v>1.4287644997239113E-2</v>
      </c>
      <c r="I9" s="10">
        <v>0.95991623401641846</v>
      </c>
      <c r="J9" s="10">
        <v>2.7778791263699532E-3</v>
      </c>
      <c r="K9" s="10">
        <v>0.94459056854248047</v>
      </c>
      <c r="L9" s="10">
        <v>3.3956605475395918E-3</v>
      </c>
      <c r="M9" s="10">
        <v>0.29779320955276489</v>
      </c>
      <c r="N9" s="10">
        <v>3.0047699809074402E-2</v>
      </c>
      <c r="O9" s="10">
        <v>0.39285263419151306</v>
      </c>
      <c r="P9" s="10">
        <v>2.9815062880516052E-2</v>
      </c>
      <c r="Q9" s="11"/>
      <c r="R9" s="10">
        <v>0.32644599676132202</v>
      </c>
      <c r="S9" s="10">
        <v>1.1331475339829922E-2</v>
      </c>
      <c r="T9" s="10">
        <v>0.2912571132183075</v>
      </c>
      <c r="U9" s="10">
        <v>1.0537220165133476E-2</v>
      </c>
      <c r="V9" s="10">
        <v>0.92592090368270874</v>
      </c>
      <c r="W9" s="10">
        <v>4.0071658790111542E-2</v>
      </c>
      <c r="X9" s="10">
        <v>0.87883245944976807</v>
      </c>
      <c r="Y9" s="10">
        <v>1.5648745000362396E-2</v>
      </c>
      <c r="Z9" s="10">
        <v>0.84667575359344482</v>
      </c>
      <c r="AA9" s="10">
        <v>1.7856651917099953E-2</v>
      </c>
      <c r="AB9" s="10">
        <v>-9.9360071122646332E-2</v>
      </c>
      <c r="AC9" s="10">
        <v>6.8349950015544891E-2</v>
      </c>
      <c r="AD9" s="10">
        <v>-0.11465960741043091</v>
      </c>
      <c r="AE9" s="10">
        <v>5.9686917811632156E-2</v>
      </c>
      <c r="AF9" s="11"/>
      <c r="AG9" s="10">
        <v>0.57512146234512329</v>
      </c>
      <c r="AH9" s="10">
        <v>2.6638941839337349E-2</v>
      </c>
      <c r="AI9" s="10">
        <v>0.61849582195281982</v>
      </c>
      <c r="AJ9" s="10">
        <v>3.1429152935743332E-2</v>
      </c>
      <c r="AK9" s="10">
        <v>0.87353557348251343</v>
      </c>
      <c r="AL9" s="10">
        <v>4.0661372244358063E-2</v>
      </c>
      <c r="AM9" s="10">
        <v>0.96966075897216797</v>
      </c>
      <c r="AN9" s="10">
        <v>5.0282697193324566E-3</v>
      </c>
      <c r="AO9" s="10">
        <v>0.95733445882797241</v>
      </c>
      <c r="AP9" s="10">
        <v>7.4113714508712292E-3</v>
      </c>
      <c r="AQ9" s="10">
        <v>0.29843327403068542</v>
      </c>
      <c r="AR9" s="10">
        <v>5.9805832803249359E-2</v>
      </c>
      <c r="AS9" s="10">
        <v>0.34572580456733704</v>
      </c>
      <c r="AT9" s="10">
        <v>6.6610157489776611E-2</v>
      </c>
      <c r="AU9" s="7"/>
    </row>
    <row r="10" spans="1:47" x14ac:dyDescent="0.3">
      <c r="A10">
        <v>2009</v>
      </c>
      <c r="C10" s="10">
        <v>0.5798790454864502</v>
      </c>
      <c r="D10" s="10">
        <v>1.3145032338798046E-2</v>
      </c>
      <c r="E10" s="10">
        <v>0.65400969982147217</v>
      </c>
      <c r="F10" s="10">
        <v>1.2593778781592846E-2</v>
      </c>
      <c r="G10" s="10">
        <v>0.87112843990325928</v>
      </c>
      <c r="H10" s="10">
        <v>1.7507525160908699E-2</v>
      </c>
      <c r="I10" s="10">
        <v>0.96694624423980713</v>
      </c>
      <c r="J10" s="10">
        <v>2.3763913195580244E-3</v>
      </c>
      <c r="K10" s="10">
        <v>0.95632463693618774</v>
      </c>
      <c r="L10" s="10">
        <v>4.3417038396000862E-3</v>
      </c>
      <c r="M10" s="10">
        <v>0.38473585247993469</v>
      </c>
      <c r="N10" s="10">
        <v>2.9766261577606201E-2</v>
      </c>
      <c r="O10" s="10">
        <v>0.47070473432540894</v>
      </c>
      <c r="P10" s="10">
        <v>2.6533057913184166E-2</v>
      </c>
      <c r="Q10" s="11"/>
      <c r="R10" s="10">
        <v>0.31764274835586548</v>
      </c>
      <c r="S10" s="10">
        <v>1.3010475784540176E-2</v>
      </c>
      <c r="T10" s="10">
        <v>0.28250047564506531</v>
      </c>
      <c r="U10" s="10">
        <v>1.1760630644857883E-2</v>
      </c>
      <c r="V10" s="10">
        <v>0.82878017425537109</v>
      </c>
      <c r="W10" s="10">
        <v>4.7676939517259598E-2</v>
      </c>
      <c r="X10" s="10">
        <v>0.85670006275177002</v>
      </c>
      <c r="Y10" s="10">
        <v>2.2364171221852303E-2</v>
      </c>
      <c r="Z10" s="10">
        <v>0.82513737678527832</v>
      </c>
      <c r="AA10" s="10">
        <v>3.1912781298160553E-2</v>
      </c>
      <c r="AB10" s="10">
        <v>-0.10202892124652863</v>
      </c>
      <c r="AC10" s="10">
        <v>7.3514573276042938E-2</v>
      </c>
      <c r="AD10" s="10">
        <v>-0.17668528854846954</v>
      </c>
      <c r="AE10" s="10">
        <v>6.2418811023235321E-2</v>
      </c>
      <c r="AF10" s="11"/>
      <c r="AG10" s="10">
        <v>0.56829816102981567</v>
      </c>
      <c r="AH10" s="10">
        <v>4.3910767883062363E-2</v>
      </c>
      <c r="AI10" s="10">
        <v>0.60934978723526001</v>
      </c>
      <c r="AJ10" s="10">
        <v>4.2275361716747284E-2</v>
      </c>
      <c r="AK10" s="10">
        <v>0.72805386781692505</v>
      </c>
      <c r="AL10" s="10">
        <v>4.3400760740041733E-2</v>
      </c>
      <c r="AM10" s="10">
        <v>0.97735762596130371</v>
      </c>
      <c r="AN10" s="10">
        <v>5.5532236583530903E-3</v>
      </c>
      <c r="AO10" s="10">
        <v>0.96266382932662964</v>
      </c>
      <c r="AP10" s="10">
        <v>1.2650095857679844E-2</v>
      </c>
      <c r="AQ10" s="10">
        <v>0.2382039874792099</v>
      </c>
      <c r="AR10" s="10">
        <v>8.2965344190597534E-2</v>
      </c>
      <c r="AS10" s="10">
        <v>0.31906592845916748</v>
      </c>
      <c r="AT10" s="10">
        <v>8.7526820600032806E-2</v>
      </c>
      <c r="AU10" s="7"/>
    </row>
    <row r="11" spans="1:47" x14ac:dyDescent="0.3">
      <c r="A11">
        <v>2010</v>
      </c>
      <c r="C11" s="10">
        <v>0.53733843564987183</v>
      </c>
      <c r="D11" s="10">
        <v>1.187196746468544E-2</v>
      </c>
      <c r="E11" s="10">
        <v>0.58783906698226929</v>
      </c>
      <c r="F11" s="10">
        <v>1.2076526880264282E-2</v>
      </c>
      <c r="G11" s="10">
        <v>0.94014352560043335</v>
      </c>
      <c r="H11" s="10">
        <v>1.7837652936577797E-2</v>
      </c>
      <c r="I11" s="10">
        <v>0.95147311687469482</v>
      </c>
      <c r="J11" s="10">
        <v>3.3541228622198105E-3</v>
      </c>
      <c r="K11" s="10">
        <v>0.92571544647216797</v>
      </c>
      <c r="L11" s="10">
        <v>7.0162620395421982E-3</v>
      </c>
      <c r="M11" s="10">
        <v>0.32144060730934143</v>
      </c>
      <c r="N11" s="10">
        <v>2.8813868761062622E-2</v>
      </c>
      <c r="O11" s="10">
        <v>0.39199310541152954</v>
      </c>
      <c r="P11" s="10">
        <v>2.6341654360294342E-2</v>
      </c>
      <c r="Q11" s="11"/>
      <c r="R11" s="10">
        <v>0.32310637831687927</v>
      </c>
      <c r="S11" s="10">
        <v>1.1316106654703617E-2</v>
      </c>
      <c r="T11" s="10">
        <v>0.27023637294769287</v>
      </c>
      <c r="U11" s="10">
        <v>1.1561956256628036E-2</v>
      </c>
      <c r="V11" s="10">
        <v>0.96519863605499268</v>
      </c>
      <c r="W11" s="10">
        <v>4.9256429076194763E-2</v>
      </c>
      <c r="X11" s="10">
        <v>0.85232728719711304</v>
      </c>
      <c r="Y11" s="10">
        <v>1.5508204698562622E-2</v>
      </c>
      <c r="Z11" s="10">
        <v>0.81889742612838745</v>
      </c>
      <c r="AA11" s="10">
        <v>2.4886131286621094E-2</v>
      </c>
      <c r="AB11" s="10">
        <v>-0.140485480427742</v>
      </c>
      <c r="AC11" s="10">
        <v>5.516502633690834E-2</v>
      </c>
      <c r="AD11" s="10">
        <v>-0.2087605893611908</v>
      </c>
      <c r="AE11" s="10">
        <v>6.490509957075119E-2</v>
      </c>
      <c r="AF11" s="11"/>
      <c r="AG11" s="10">
        <v>0.50547635555267334</v>
      </c>
      <c r="AH11" s="10">
        <v>3.4168493002653122E-2</v>
      </c>
      <c r="AI11" s="10">
        <v>0.53092581033706665</v>
      </c>
      <c r="AJ11" s="10">
        <v>3.4959267824888229E-2</v>
      </c>
      <c r="AK11" s="10">
        <v>0.800362229347229</v>
      </c>
      <c r="AL11" s="10">
        <v>4.7177914530038834E-2</v>
      </c>
      <c r="AM11" s="10">
        <v>0.97011256217956543</v>
      </c>
      <c r="AN11" s="10">
        <v>6.455116905272007E-3</v>
      </c>
      <c r="AO11" s="10">
        <v>0.92316186428070068</v>
      </c>
      <c r="AP11" s="10">
        <v>1.8602041527628899E-2</v>
      </c>
      <c r="AQ11" s="10">
        <v>6.3067249953746796E-2</v>
      </c>
      <c r="AR11" s="10">
        <v>5.76288141310215E-2</v>
      </c>
      <c r="AS11" s="10">
        <v>0.14406877756118774</v>
      </c>
      <c r="AT11" s="10">
        <v>8.7150231003761292E-2</v>
      </c>
      <c r="AU11" s="7"/>
    </row>
    <row r="12" spans="1:47" x14ac:dyDescent="0.3">
      <c r="A12">
        <v>2011</v>
      </c>
      <c r="C12" s="10">
        <v>0.58983337879180908</v>
      </c>
      <c r="D12" s="10">
        <v>1.3836105354130268E-2</v>
      </c>
      <c r="E12" s="10">
        <v>0.64142483472824097</v>
      </c>
      <c r="F12" s="10">
        <v>1.2269774451851845E-2</v>
      </c>
      <c r="G12" s="10">
        <v>0.9498521089553833</v>
      </c>
      <c r="H12" s="10">
        <v>1.9038528203964233E-2</v>
      </c>
      <c r="I12" s="10">
        <v>0.96038597822189331</v>
      </c>
      <c r="J12" s="10">
        <v>3.6415315698832273E-3</v>
      </c>
      <c r="K12" s="10">
        <v>0.94231176376342773</v>
      </c>
      <c r="L12" s="10">
        <v>5.0806323997676373E-3</v>
      </c>
      <c r="M12" s="10">
        <v>0.33329290151596069</v>
      </c>
      <c r="N12" s="10">
        <v>2.4641469120979309E-2</v>
      </c>
      <c r="O12" s="10">
        <v>0.43104454874992371</v>
      </c>
      <c r="P12" s="10">
        <v>2.8049485757946968E-2</v>
      </c>
      <c r="Q12" s="11"/>
      <c r="R12" s="10">
        <v>0.30852806568145752</v>
      </c>
      <c r="S12" s="10">
        <v>1.1125621385872364E-2</v>
      </c>
      <c r="T12" s="10">
        <v>0.27531519532203674</v>
      </c>
      <c r="U12" s="10">
        <v>1.4782263897359371E-2</v>
      </c>
      <c r="V12" s="10">
        <v>0.95141732692718506</v>
      </c>
      <c r="W12" s="10">
        <v>4.9144532531499863E-2</v>
      </c>
      <c r="X12" s="10">
        <v>0.83437502384185791</v>
      </c>
      <c r="Y12" s="10">
        <v>2.2978803142905235E-2</v>
      </c>
      <c r="Z12" s="10">
        <v>0.79369950294494629</v>
      </c>
      <c r="AA12" s="10">
        <v>3.269750252366066E-2</v>
      </c>
      <c r="AB12" s="10">
        <v>-0.1044822633266449</v>
      </c>
      <c r="AC12" s="10">
        <v>5.8466937392950058E-2</v>
      </c>
      <c r="AD12" s="10">
        <v>-0.13488207757472992</v>
      </c>
      <c r="AE12" s="10">
        <v>6.771918386220932E-2</v>
      </c>
      <c r="AF12" s="11"/>
      <c r="AG12" s="10">
        <v>0.54434061050415039</v>
      </c>
      <c r="AH12" s="10">
        <v>5.2705049514770508E-2</v>
      </c>
      <c r="AI12" s="10">
        <v>0.57778000831604004</v>
      </c>
      <c r="AJ12" s="10">
        <v>4.6034984290599823E-2</v>
      </c>
      <c r="AK12" s="10">
        <v>0.77426773309707642</v>
      </c>
      <c r="AL12" s="10">
        <v>6.8425871431827545E-2</v>
      </c>
      <c r="AM12" s="10">
        <v>0.97112172842025757</v>
      </c>
      <c r="AN12" s="10">
        <v>7.5214514508843422E-3</v>
      </c>
      <c r="AO12" s="10">
        <v>0.93309241533279419</v>
      </c>
      <c r="AP12" s="10">
        <v>1.9513588398694992E-2</v>
      </c>
      <c r="AQ12" s="10">
        <v>0.10984398424625397</v>
      </c>
      <c r="AR12" s="10">
        <v>6.7893341183662415E-2</v>
      </c>
      <c r="AS12" s="10">
        <v>0.16833993792533875</v>
      </c>
      <c r="AT12" s="10">
        <v>9.104563295841217E-2</v>
      </c>
      <c r="AU12" s="7"/>
    </row>
    <row r="13" spans="1:47" x14ac:dyDescent="0.3">
      <c r="A13">
        <v>2012</v>
      </c>
      <c r="C13" s="10">
        <v>0.6133684515953064</v>
      </c>
      <c r="D13" s="10">
        <v>1.4650433324277401E-2</v>
      </c>
      <c r="E13" s="10">
        <v>0.67400074005126953</v>
      </c>
      <c r="F13" s="10">
        <v>1.5904547646641731E-2</v>
      </c>
      <c r="G13" s="10">
        <v>0.89911329746246338</v>
      </c>
      <c r="H13" s="10">
        <v>1.7803853377699852E-2</v>
      </c>
      <c r="I13" s="10">
        <v>0.96615183353424072</v>
      </c>
      <c r="J13" s="10">
        <v>2.700180746614933E-3</v>
      </c>
      <c r="K13" s="10">
        <v>0.94084596633911133</v>
      </c>
      <c r="L13" s="10">
        <v>5.7113342918455601E-3</v>
      </c>
      <c r="M13" s="10">
        <v>0.43492391705513</v>
      </c>
      <c r="N13" s="10">
        <v>2.0617058500647545E-2</v>
      </c>
      <c r="O13" s="10">
        <v>0.51483511924743652</v>
      </c>
      <c r="P13" s="10">
        <v>2.1284371614456177E-2</v>
      </c>
      <c r="Q13" s="11"/>
      <c r="R13" s="10">
        <v>0.30055356025695801</v>
      </c>
      <c r="S13" s="10">
        <v>1.1388192884624004E-2</v>
      </c>
      <c r="T13" s="10">
        <v>0.27918398380279541</v>
      </c>
      <c r="U13" s="10">
        <v>1.190612930804491E-2</v>
      </c>
      <c r="V13" s="10">
        <v>0.70186829566955566</v>
      </c>
      <c r="W13" s="10">
        <v>3.7193406373262405E-2</v>
      </c>
      <c r="X13" s="10">
        <v>0.86352938413619995</v>
      </c>
      <c r="Y13" s="10">
        <v>1.5987157821655273E-2</v>
      </c>
      <c r="Z13" s="10">
        <v>0.83388853073120117</v>
      </c>
      <c r="AA13" s="10">
        <v>2.4874767288565636E-2</v>
      </c>
      <c r="AB13" s="10">
        <v>-7.7796660363674164E-2</v>
      </c>
      <c r="AC13" s="10">
        <v>5.4732460528612137E-2</v>
      </c>
      <c r="AD13" s="10">
        <v>-0.11497189849615097</v>
      </c>
      <c r="AE13" s="10">
        <v>6.7813538014888763E-2</v>
      </c>
      <c r="AF13" s="11"/>
      <c r="AG13" s="10">
        <v>0.59731775522232056</v>
      </c>
      <c r="AH13" s="10">
        <v>5.041784793138504E-2</v>
      </c>
      <c r="AI13" s="10">
        <v>0.61552417278289795</v>
      </c>
      <c r="AJ13" s="10">
        <v>4.7642387449741364E-2</v>
      </c>
      <c r="AK13" s="10">
        <v>0.79879432916641235</v>
      </c>
      <c r="AL13" s="10">
        <v>4.9360703676939011E-2</v>
      </c>
      <c r="AM13" s="10">
        <v>0.97529381513595581</v>
      </c>
      <c r="AN13" s="10">
        <v>5.8472799137234688E-3</v>
      </c>
      <c r="AO13" s="10">
        <v>0.93761837482452393</v>
      </c>
      <c r="AP13" s="10">
        <v>2.2197926416993141E-2</v>
      </c>
      <c r="AQ13" s="10">
        <v>7.3635401204228401E-3</v>
      </c>
      <c r="AR13" s="10">
        <v>8.7047301232814789E-2</v>
      </c>
      <c r="AS13" s="10">
        <v>5.8786976151168346E-3</v>
      </c>
      <c r="AT13" s="10">
        <v>9.3388386070728302E-2</v>
      </c>
      <c r="AU13" s="7"/>
    </row>
    <row r="14" spans="1:47" x14ac:dyDescent="0.3">
      <c r="A14">
        <v>2013</v>
      </c>
      <c r="C14" s="10">
        <v>0.73969954252243042</v>
      </c>
      <c r="D14" s="10">
        <v>1.8109308555722237E-2</v>
      </c>
      <c r="E14" s="10">
        <v>0.79374271631240845</v>
      </c>
      <c r="F14" s="10">
        <v>1.679571159183979E-2</v>
      </c>
      <c r="G14" s="10">
        <v>0.97073757648468018</v>
      </c>
      <c r="H14" s="10">
        <v>2.1650312468409538E-2</v>
      </c>
      <c r="I14" s="10">
        <v>0.9712529182434082</v>
      </c>
      <c r="J14" s="10">
        <v>2.5273018982261419E-3</v>
      </c>
      <c r="K14" s="10">
        <v>0.95432692766189575</v>
      </c>
      <c r="L14" s="10">
        <v>5.9626847505569458E-3</v>
      </c>
      <c r="M14" s="10">
        <v>0.26441586017608643</v>
      </c>
      <c r="N14" s="10">
        <v>3.1988486647605896E-2</v>
      </c>
      <c r="O14" s="10">
        <v>0.38340350985527039</v>
      </c>
      <c r="P14" s="10">
        <v>3.1221356242895126E-2</v>
      </c>
      <c r="Q14" s="11"/>
      <c r="R14" s="10">
        <v>0.38569143414497375</v>
      </c>
      <c r="S14" s="10">
        <v>2.1160958334803581E-2</v>
      </c>
      <c r="T14" s="10">
        <v>0.36082121729850769</v>
      </c>
      <c r="U14" s="10">
        <v>1.9174611195921898E-2</v>
      </c>
      <c r="V14" s="10">
        <v>0.96735048294067383</v>
      </c>
      <c r="W14" s="10">
        <v>4.9795694649219513E-2</v>
      </c>
      <c r="X14" s="10">
        <v>0.89302104711532593</v>
      </c>
      <c r="Y14" s="10">
        <v>1.5603459440171719E-2</v>
      </c>
      <c r="Z14" s="10">
        <v>0.84865236282348633</v>
      </c>
      <c r="AA14" s="10">
        <v>2.2440092638134956E-2</v>
      </c>
      <c r="AB14" s="10">
        <v>-0.17006276547908783</v>
      </c>
      <c r="AC14" s="10">
        <v>6.0895424336194992E-2</v>
      </c>
      <c r="AD14" s="10">
        <v>-0.19425973296165466</v>
      </c>
      <c r="AE14" s="10">
        <v>7.2476997971534729E-2</v>
      </c>
      <c r="AF14" s="11"/>
      <c r="AG14" s="10">
        <v>0.65721064805984497</v>
      </c>
      <c r="AH14" s="10">
        <v>7.0009149610996246E-2</v>
      </c>
      <c r="AI14" s="10">
        <v>0.67694544792175293</v>
      </c>
      <c r="AJ14" s="10">
        <v>5.935683473944664E-2</v>
      </c>
      <c r="AK14" s="10">
        <v>0.88668680191040039</v>
      </c>
      <c r="AL14" s="10">
        <v>7.3160998523235321E-2</v>
      </c>
      <c r="AM14" s="10">
        <v>0.97782307863235474</v>
      </c>
      <c r="AN14" s="10">
        <v>6.2591442838311195E-3</v>
      </c>
      <c r="AO14" s="10">
        <v>0.9441688060760498</v>
      </c>
      <c r="AP14" s="10">
        <v>1.9447328522801399E-2</v>
      </c>
      <c r="AQ14" s="10">
        <v>0.18442121148109436</v>
      </c>
      <c r="AR14" s="10">
        <v>9.5399484038352966E-2</v>
      </c>
      <c r="AS14" s="10">
        <v>0.30337318778038025</v>
      </c>
      <c r="AT14" s="10">
        <v>0.10213349014520645</v>
      </c>
      <c r="AU14" s="7"/>
    </row>
  </sheetData>
  <mergeCells count="21">
    <mergeCell ref="C1:P1"/>
    <mergeCell ref="R1:AE1"/>
    <mergeCell ref="AG1:AT1"/>
    <mergeCell ref="AQ2:AT2"/>
    <mergeCell ref="I3:J3"/>
    <mergeCell ref="K3:L3"/>
    <mergeCell ref="M3:N3"/>
    <mergeCell ref="O3:P3"/>
    <mergeCell ref="X3:Y3"/>
    <mergeCell ref="Z3:AA3"/>
    <mergeCell ref="AB3:AC3"/>
    <mergeCell ref="AD3:AE3"/>
    <mergeCell ref="AM3:AN3"/>
    <mergeCell ref="AO3:AP3"/>
    <mergeCell ref="AQ3:AR3"/>
    <mergeCell ref="AS3:AT3"/>
    <mergeCell ref="I2:L2"/>
    <mergeCell ref="M2:P2"/>
    <mergeCell ref="X2:AA2"/>
    <mergeCell ref="AB2:AE2"/>
    <mergeCell ref="AM2:AP2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6FC8-CDF4-486A-890D-203B6EFE317F}">
  <dimension ref="A1:AM21"/>
  <sheetViews>
    <sheetView workbookViewId="0">
      <selection activeCell="U18" sqref="U18"/>
    </sheetView>
  </sheetViews>
  <sheetFormatPr defaultColWidth="8.77734375" defaultRowHeight="14.4" x14ac:dyDescent="0.3"/>
  <sheetData>
    <row r="1" spans="1:39" x14ac:dyDescent="0.3">
      <c r="C1" s="4" t="s">
        <v>55</v>
      </c>
      <c r="F1" s="22" t="s">
        <v>57</v>
      </c>
      <c r="G1" s="22"/>
      <c r="H1" s="22"/>
      <c r="I1" s="22"/>
      <c r="J1" s="22"/>
      <c r="K1" s="22"/>
      <c r="L1" s="22"/>
      <c r="M1" s="22"/>
      <c r="N1" s="22"/>
      <c r="O1" s="22"/>
      <c r="Q1" s="4" t="s">
        <v>63</v>
      </c>
      <c r="S1" s="4" t="s">
        <v>64</v>
      </c>
      <c r="U1" s="4" t="s">
        <v>66</v>
      </c>
      <c r="W1" s="22" t="s">
        <v>69</v>
      </c>
      <c r="X1" s="22"/>
      <c r="Y1" s="22"/>
      <c r="Z1" s="22"/>
      <c r="AA1" s="22"/>
      <c r="AB1" s="22" t="s">
        <v>82</v>
      </c>
      <c r="AC1" s="22"/>
      <c r="AD1" s="22" t="s">
        <v>75</v>
      </c>
      <c r="AE1" s="22"/>
      <c r="AF1" s="22"/>
      <c r="AG1" s="22"/>
      <c r="AH1" s="22"/>
      <c r="AI1" s="22" t="s">
        <v>78</v>
      </c>
      <c r="AJ1" s="22"/>
      <c r="AK1" s="22"/>
      <c r="AL1" s="22"/>
      <c r="AM1" s="22"/>
    </row>
    <row r="2" spans="1:39" x14ac:dyDescent="0.3">
      <c r="C2" s="4" t="s">
        <v>56</v>
      </c>
      <c r="F2" s="4" t="s">
        <v>58</v>
      </c>
      <c r="H2" s="4" t="s">
        <v>59</v>
      </c>
      <c r="J2" s="4" t="s">
        <v>60</v>
      </c>
      <c r="L2" s="4" t="s">
        <v>61</v>
      </c>
      <c r="N2" s="4" t="s">
        <v>62</v>
      </c>
      <c r="S2" s="4" t="s">
        <v>65</v>
      </c>
      <c r="W2" s="4" t="s">
        <v>70</v>
      </c>
      <c r="X2" s="4" t="s">
        <v>71</v>
      </c>
      <c r="Y2" s="4" t="s">
        <v>72</v>
      </c>
      <c r="Z2" s="4" t="s">
        <v>73</v>
      </c>
      <c r="AA2" s="4" t="s">
        <v>74</v>
      </c>
      <c r="AB2" s="4" t="s">
        <v>38</v>
      </c>
      <c r="AC2" s="4" t="s">
        <v>37</v>
      </c>
      <c r="AD2" s="4" t="s">
        <v>71</v>
      </c>
      <c r="AE2" s="4" t="s">
        <v>74</v>
      </c>
      <c r="AF2" s="4" t="s">
        <v>76</v>
      </c>
      <c r="AG2" s="4" t="s">
        <v>77</v>
      </c>
      <c r="AH2" s="4" t="s">
        <v>79</v>
      </c>
      <c r="AI2" s="4" t="s">
        <v>67</v>
      </c>
      <c r="AJ2" s="4" t="s">
        <v>68</v>
      </c>
      <c r="AK2" s="4" t="s">
        <v>81</v>
      </c>
      <c r="AL2" s="4" t="s">
        <v>80</v>
      </c>
      <c r="AM2" s="4" t="s">
        <v>43</v>
      </c>
    </row>
    <row r="4" spans="1:39" x14ac:dyDescent="0.3">
      <c r="A4">
        <v>2003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</row>
    <row r="5" spans="1:39" x14ac:dyDescent="0.3">
      <c r="A5">
        <v>2004</v>
      </c>
      <c r="C5" s="13">
        <v>0.5815691351890564</v>
      </c>
      <c r="D5" s="13">
        <v>8.4113758057355881E-3</v>
      </c>
      <c r="E5" s="14"/>
      <c r="F5" s="13">
        <v>6.8692641258239746</v>
      </c>
      <c r="G5" s="13">
        <v>0.14541906118392944</v>
      </c>
      <c r="H5" s="13">
        <v>2.5</v>
      </c>
      <c r="I5" s="13">
        <v>8.3539098501205444E-2</v>
      </c>
      <c r="J5" s="13">
        <v>5.0999999046325684</v>
      </c>
      <c r="K5" s="13">
        <v>0.17011882364749908</v>
      </c>
      <c r="L5" s="13">
        <v>9.25</v>
      </c>
      <c r="M5" s="13">
        <v>0.28213608264923096</v>
      </c>
      <c r="N5" s="13">
        <v>0.88821542263031006</v>
      </c>
      <c r="O5" s="13">
        <v>1.4372100122272968E-2</v>
      </c>
      <c r="P5" s="14"/>
      <c r="Q5" s="13">
        <v>0.25059804320335388</v>
      </c>
      <c r="R5" s="14"/>
      <c r="S5" s="13">
        <v>0.98857706785202026</v>
      </c>
      <c r="T5" s="14"/>
      <c r="U5" s="13">
        <v>275.10922241210938</v>
      </c>
      <c r="V5" s="18"/>
      <c r="W5" s="13">
        <v>0.14721627533435822</v>
      </c>
      <c r="X5" s="13">
        <v>6.1027836054563522E-2</v>
      </c>
      <c r="Y5" s="13">
        <v>0.81316918134689331</v>
      </c>
      <c r="Z5" s="13">
        <v>8.1729568541049957E-2</v>
      </c>
      <c r="AA5" s="13">
        <v>2.309422567486763E-2</v>
      </c>
      <c r="AB5" s="13">
        <v>4.1618180274963379</v>
      </c>
      <c r="AC5" s="13">
        <v>2.2999999523162842</v>
      </c>
      <c r="AD5" s="13">
        <v>5.7907845824956894E-2</v>
      </c>
      <c r="AE5" s="13">
        <v>3.5562537610530853E-2</v>
      </c>
      <c r="AF5" s="13">
        <v>7.752179354429245E-2</v>
      </c>
      <c r="AG5" s="13">
        <v>8.364337682723999E-2</v>
      </c>
      <c r="AH5" s="13">
        <v>0.1525261402130127</v>
      </c>
      <c r="AI5" s="13">
        <v>0.12923033535480499</v>
      </c>
      <c r="AJ5" s="13">
        <v>0.16218353807926178</v>
      </c>
      <c r="AK5" s="13">
        <v>4.5609116554260254E-2</v>
      </c>
      <c r="AL5" s="13">
        <v>2.8760261833667755E-2</v>
      </c>
      <c r="AM5" s="13">
        <v>3.476356714963913E-2</v>
      </c>
    </row>
    <row r="6" spans="1:39" x14ac:dyDescent="0.3">
      <c r="A6">
        <v>2005</v>
      </c>
      <c r="C6" s="10">
        <v>0.57540470361709595</v>
      </c>
      <c r="D6" s="10">
        <v>8.8411532342433929E-3</v>
      </c>
      <c r="E6" s="11"/>
      <c r="F6" s="10">
        <v>6.9370756149291992</v>
      </c>
      <c r="G6" s="10">
        <v>0.12789326906204224</v>
      </c>
      <c r="H6" s="10">
        <v>2.5999999046325684</v>
      </c>
      <c r="I6" s="10">
        <v>0.14610344171524048</v>
      </c>
      <c r="J6" s="10">
        <v>5.5999999046325684</v>
      </c>
      <c r="K6" s="10">
        <v>0.18601617217063904</v>
      </c>
      <c r="L6" s="10">
        <v>9.5</v>
      </c>
      <c r="M6" s="10">
        <v>0.25843885540962219</v>
      </c>
      <c r="N6" s="10">
        <v>0.87459862232208252</v>
      </c>
      <c r="O6" s="10">
        <v>1.5408462844789028E-2</v>
      </c>
      <c r="P6" s="11"/>
      <c r="Q6" s="10">
        <v>0.27211242914199829</v>
      </c>
      <c r="R6" s="11"/>
      <c r="S6" s="10">
        <v>0.98969632387161255</v>
      </c>
      <c r="T6" s="11"/>
      <c r="U6" s="10">
        <v>282.70095825195313</v>
      </c>
      <c r="V6" s="16"/>
      <c r="W6" s="10">
        <v>0.14165844023227692</v>
      </c>
      <c r="X6" s="10">
        <v>4.7384008765220642E-2</v>
      </c>
      <c r="Y6" s="10">
        <v>0.82922011613845825</v>
      </c>
      <c r="Z6" s="10">
        <v>9.1749094426631927E-2</v>
      </c>
      <c r="AA6" s="10">
        <v>1.8619708716869354E-2</v>
      </c>
      <c r="AB6" s="10">
        <v>4.8090591430664063</v>
      </c>
      <c r="AC6" s="10">
        <v>2.7000000476837158</v>
      </c>
      <c r="AD6" s="10">
        <v>4.9985799938440323E-2</v>
      </c>
      <c r="AE6" s="10">
        <v>3.1549137085676193E-2</v>
      </c>
      <c r="AF6" s="10">
        <v>7.2138600051403046E-2</v>
      </c>
      <c r="AG6" s="10">
        <v>0.10563576966524124</v>
      </c>
      <c r="AH6" s="10">
        <v>0.17527520656585693</v>
      </c>
      <c r="AI6" s="10">
        <v>0.11780298501253128</v>
      </c>
      <c r="AJ6" s="10">
        <v>0.24909833073616028</v>
      </c>
      <c r="AK6" s="10">
        <v>7.9791799187660217E-2</v>
      </c>
      <c r="AL6" s="10">
        <v>5.6991036981344223E-2</v>
      </c>
      <c r="AM6" s="10">
        <v>6.4353436231613159E-2</v>
      </c>
    </row>
    <row r="7" spans="1:39" x14ac:dyDescent="0.3">
      <c r="A7">
        <v>2006</v>
      </c>
      <c r="C7" s="10">
        <v>0.56173914670944214</v>
      </c>
      <c r="D7" s="10">
        <v>9.4070294871926308E-3</v>
      </c>
      <c r="E7" s="11"/>
      <c r="F7" s="10">
        <v>7.2936878204345703</v>
      </c>
      <c r="G7" s="10">
        <v>0.14659292995929718</v>
      </c>
      <c r="H7" s="10">
        <v>2.5</v>
      </c>
      <c r="I7" s="10">
        <v>6.7949756979942322E-2</v>
      </c>
      <c r="J7" s="10">
        <v>5.1999998092651367</v>
      </c>
      <c r="K7" s="10">
        <v>0.17296802997589111</v>
      </c>
      <c r="L7" s="10">
        <v>10</v>
      </c>
      <c r="M7" s="10">
        <v>0.18565739691257477</v>
      </c>
      <c r="N7" s="10">
        <v>0.92059427499771118</v>
      </c>
      <c r="O7" s="10">
        <v>1.4713757671415806E-2</v>
      </c>
      <c r="P7" s="11"/>
      <c r="Q7" s="10">
        <v>0.25729292631149292</v>
      </c>
      <c r="R7" s="11"/>
      <c r="S7" s="10">
        <v>0.98494476079940796</v>
      </c>
      <c r="T7" s="11"/>
      <c r="U7" s="10">
        <v>283.5318603515625</v>
      </c>
      <c r="V7" s="16"/>
      <c r="W7" s="10">
        <v>0.11971104145050049</v>
      </c>
      <c r="X7" s="10">
        <v>5.67595474421978E-2</v>
      </c>
      <c r="Y7" s="10">
        <v>0.83746129274368286</v>
      </c>
      <c r="Z7" s="10">
        <v>7.1301385760307312E-2</v>
      </c>
      <c r="AA7" s="10">
        <v>2.4441683664917946E-2</v>
      </c>
      <c r="AB7" s="10">
        <v>4.6775860786437988</v>
      </c>
      <c r="AC7" s="10">
        <v>2.5999999046325684</v>
      </c>
      <c r="AD7" s="10">
        <v>6.5217390656471252E-2</v>
      </c>
      <c r="AE7" s="10">
        <v>5.7549655437469482E-2</v>
      </c>
      <c r="AF7" s="10">
        <v>7.6231881976127625E-2</v>
      </c>
      <c r="AG7" s="10">
        <v>9.6800900995731354E-2</v>
      </c>
      <c r="AH7" s="10">
        <v>0.1628262996673584</v>
      </c>
      <c r="AI7" s="10">
        <v>0.2404983788728714</v>
      </c>
      <c r="AJ7" s="10">
        <v>0.30113542079925537</v>
      </c>
      <c r="AK7" s="10">
        <v>5.9607230126857758E-2</v>
      </c>
      <c r="AL7" s="10">
        <v>2.5940556079149246E-2</v>
      </c>
      <c r="AM7" s="10">
        <v>3.4167375415563583E-2</v>
      </c>
    </row>
    <row r="8" spans="1:39" x14ac:dyDescent="0.3">
      <c r="A8">
        <v>2007</v>
      </c>
      <c r="C8" s="10">
        <v>0.50647866725921631</v>
      </c>
      <c r="D8" s="10">
        <v>9.6971308812499046E-3</v>
      </c>
      <c r="E8" s="11"/>
      <c r="F8" s="10">
        <v>7.9051027297973633</v>
      </c>
      <c r="G8" s="10">
        <v>0.18857148289680481</v>
      </c>
      <c r="H8" s="10">
        <v>2.7999999523162842</v>
      </c>
      <c r="I8" s="10">
        <v>0.14586818218231201</v>
      </c>
      <c r="J8" s="10">
        <v>6</v>
      </c>
      <c r="K8" s="10">
        <v>0.21134251356124878</v>
      </c>
      <c r="L8" s="10">
        <v>10.600000381469727</v>
      </c>
      <c r="M8" s="10">
        <v>0.38988602161407471</v>
      </c>
      <c r="N8" s="10">
        <v>0.89023333787918091</v>
      </c>
      <c r="O8" s="10">
        <v>1.5751050785183907E-2</v>
      </c>
      <c r="P8" s="11"/>
      <c r="Q8" s="10">
        <v>0.22917573153972626</v>
      </c>
      <c r="R8" s="11"/>
      <c r="S8" s="10">
        <v>0.98490095138549805</v>
      </c>
      <c r="T8" s="11"/>
      <c r="U8" s="10">
        <v>285.86050415039063</v>
      </c>
      <c r="V8" s="16"/>
      <c r="W8" s="10">
        <v>0.14446952939033508</v>
      </c>
      <c r="X8" s="10">
        <v>4.3641835451126099E-2</v>
      </c>
      <c r="Y8" s="10">
        <v>0.8276900053024292</v>
      </c>
      <c r="Z8" s="10">
        <v>8.986123651266098E-2</v>
      </c>
      <c r="AA8" s="10">
        <v>2.1140666678547859E-2</v>
      </c>
      <c r="AB8" s="10">
        <v>5.2380208969116211</v>
      </c>
      <c r="AC8" s="10">
        <v>3.5</v>
      </c>
      <c r="AD8" s="10">
        <v>5.6783538311719894E-2</v>
      </c>
      <c r="AE8" s="10">
        <v>0.43972763419151306</v>
      </c>
      <c r="AF8" s="10">
        <v>8.9176826179027557E-2</v>
      </c>
      <c r="AG8" s="10">
        <v>0.11840023845434189</v>
      </c>
      <c r="AH8" s="10">
        <v>0.22514899075031281</v>
      </c>
      <c r="AI8" s="10">
        <v>0.17039620876312256</v>
      </c>
      <c r="AJ8" s="10">
        <v>0.28945377469062805</v>
      </c>
      <c r="AK8" s="10">
        <v>0.12808673083782196</v>
      </c>
      <c r="AL8" s="10">
        <v>0.1057652160525322</v>
      </c>
      <c r="AM8" s="10">
        <v>0.11559927463531494</v>
      </c>
    </row>
    <row r="9" spans="1:39" x14ac:dyDescent="0.3">
      <c r="A9">
        <v>2008</v>
      </c>
      <c r="C9" s="10">
        <v>0.51321136951446533</v>
      </c>
      <c r="D9" s="10">
        <v>9.1264424845576286E-3</v>
      </c>
      <c r="E9" s="11"/>
      <c r="F9" s="10">
        <v>7.9501338005065918</v>
      </c>
      <c r="G9" s="10">
        <v>0.21516147255897522</v>
      </c>
      <c r="H9" s="10">
        <v>2.5</v>
      </c>
      <c r="I9" s="10">
        <v>0.16769680380821228</v>
      </c>
      <c r="J9" s="10">
        <v>5.8000001907348633</v>
      </c>
      <c r="K9" s="10">
        <v>0.25429394841194153</v>
      </c>
      <c r="L9" s="10">
        <v>10.5</v>
      </c>
      <c r="M9" s="10">
        <v>0.31972211599349976</v>
      </c>
      <c r="N9" s="10">
        <v>0.95120608806610107</v>
      </c>
      <c r="O9" s="10">
        <v>1.6509778797626495E-2</v>
      </c>
      <c r="P9" s="11"/>
      <c r="Q9" s="10">
        <v>0.23915554583072662</v>
      </c>
      <c r="R9" s="11"/>
      <c r="S9" s="10">
        <v>0.98883306980133057</v>
      </c>
      <c r="T9" s="11"/>
      <c r="U9" s="10">
        <v>284.20114135742188</v>
      </c>
      <c r="V9" s="16"/>
      <c r="W9" s="10">
        <v>0.15445543825626373</v>
      </c>
      <c r="X9" s="10">
        <v>5.0165016204118729E-2</v>
      </c>
      <c r="Y9" s="10">
        <v>0.81980198621749878</v>
      </c>
      <c r="Z9" s="10">
        <v>0.12848414480686188</v>
      </c>
      <c r="AA9" s="10">
        <v>1.7953606322407722E-2</v>
      </c>
      <c r="AB9" s="10">
        <v>7.135042667388916</v>
      </c>
      <c r="AC9" s="10">
        <v>3</v>
      </c>
      <c r="AD9" s="10">
        <v>7.3170728981494904E-2</v>
      </c>
      <c r="AE9" s="10">
        <v>0.12908437848091125</v>
      </c>
      <c r="AF9" s="10">
        <v>0.11924119293689728</v>
      </c>
      <c r="AG9" s="10">
        <v>0.19753590226173401</v>
      </c>
      <c r="AH9" s="10">
        <v>0.23111139237880707</v>
      </c>
      <c r="AI9" s="10">
        <v>0.3341565728187561</v>
      </c>
      <c r="AJ9" s="10">
        <v>0.38451150059700012</v>
      </c>
      <c r="AK9" s="10">
        <v>0.1141723096370697</v>
      </c>
      <c r="AL9" s="10">
        <v>8.4248997271060944E-2</v>
      </c>
      <c r="AM9" s="10">
        <v>9.916745126247406E-2</v>
      </c>
    </row>
    <row r="10" spans="1:39" x14ac:dyDescent="0.3">
      <c r="A10">
        <v>2009</v>
      </c>
      <c r="C10" s="10">
        <v>0.44453608989715576</v>
      </c>
      <c r="D10" s="10">
        <v>1.0784276761114597E-2</v>
      </c>
      <c r="E10" s="11"/>
      <c r="F10" s="10">
        <v>7.299339771270752</v>
      </c>
      <c r="G10" s="10">
        <v>0.19639384746551514</v>
      </c>
      <c r="H10" s="10">
        <v>2.4000000953674316</v>
      </c>
      <c r="I10" s="10">
        <v>0.2181788831949234</v>
      </c>
      <c r="J10" s="10">
        <v>5.1999998092651367</v>
      </c>
      <c r="K10" s="10">
        <v>0.29049941897392273</v>
      </c>
      <c r="L10" s="10">
        <v>10</v>
      </c>
      <c r="M10" s="10">
        <v>0.1967129111289978</v>
      </c>
      <c r="N10" s="10">
        <v>0.92489194869995117</v>
      </c>
      <c r="O10" s="10">
        <v>1.9994307309389114E-2</v>
      </c>
      <c r="P10" s="11"/>
      <c r="Q10" s="10">
        <v>0.25899136066436768</v>
      </c>
      <c r="R10" s="11"/>
      <c r="S10" s="10">
        <v>0.98986649513244629</v>
      </c>
      <c r="T10" s="11"/>
      <c r="U10" s="10">
        <v>286.44937133789063</v>
      </c>
      <c r="V10" s="16"/>
      <c r="W10" s="10">
        <v>0.11038961261510849</v>
      </c>
      <c r="X10" s="10">
        <v>4.2671613395214081E-2</v>
      </c>
      <c r="Y10" s="10">
        <v>0.85621523857116699</v>
      </c>
      <c r="Z10" s="10">
        <v>7.8288182616233826E-2</v>
      </c>
      <c r="AA10" s="10">
        <v>2.1500073373317719E-2</v>
      </c>
      <c r="AB10" s="10">
        <v>5.4680671691894531</v>
      </c>
      <c r="AC10" s="10">
        <v>3</v>
      </c>
      <c r="AD10" s="10">
        <v>8.1649482250213623E-2</v>
      </c>
      <c r="AE10" s="10">
        <v>8.1909619271755219E-2</v>
      </c>
      <c r="AF10" s="10">
        <v>7.9175256192684174E-2</v>
      </c>
      <c r="AG10" s="10">
        <v>0.13962414860725403</v>
      </c>
      <c r="AH10" s="10">
        <v>0.27965733408927917</v>
      </c>
      <c r="AI10" s="10">
        <v>0.26223915815353394</v>
      </c>
      <c r="AJ10" s="10">
        <v>0.33930134773254395</v>
      </c>
      <c r="AK10" s="10">
        <v>0.12202994525432587</v>
      </c>
      <c r="AL10" s="10">
        <v>9.6060536801815033E-2</v>
      </c>
      <c r="AM10" s="10">
        <v>0.10435686260461807</v>
      </c>
    </row>
    <row r="11" spans="1:39" x14ac:dyDescent="0.3">
      <c r="A11">
        <v>2010</v>
      </c>
      <c r="C11" s="10">
        <v>0.4474775493144989</v>
      </c>
      <c r="D11" s="10">
        <v>8.9696627110242844E-3</v>
      </c>
      <c r="E11" s="11"/>
      <c r="F11" s="10">
        <v>7.8524665832519531</v>
      </c>
      <c r="G11" s="10">
        <v>0.21510668098926544</v>
      </c>
      <c r="H11" s="10">
        <v>2.2000000476837158</v>
      </c>
      <c r="I11" s="10">
        <v>0.18393772840499878</v>
      </c>
      <c r="J11" s="10">
        <v>6</v>
      </c>
      <c r="K11" s="10">
        <v>0.25001969933509827</v>
      </c>
      <c r="L11" s="10">
        <v>11</v>
      </c>
      <c r="M11" s="10">
        <v>0.50783628225326538</v>
      </c>
      <c r="N11" s="10">
        <v>1.0011074542999268</v>
      </c>
      <c r="O11" s="10">
        <v>2.4499733000993729E-2</v>
      </c>
      <c r="P11" s="11"/>
      <c r="Q11" s="10">
        <v>0.23072735965251923</v>
      </c>
      <c r="R11" s="11"/>
      <c r="S11" s="10">
        <v>0.98461002111434937</v>
      </c>
      <c r="T11" s="11"/>
      <c r="U11" s="10">
        <v>282.571533203125</v>
      </c>
      <c r="V11" s="16"/>
      <c r="W11" s="10">
        <v>0.13281853497028351</v>
      </c>
      <c r="X11" s="10">
        <v>5.4826255887746811E-2</v>
      </c>
      <c r="Y11" s="10">
        <v>0.83243244886398315</v>
      </c>
      <c r="Z11" s="10">
        <v>9.1351836919784546E-2</v>
      </c>
      <c r="AA11" s="10">
        <v>1.7174586653709412E-2</v>
      </c>
      <c r="AB11" s="10">
        <v>5.7581396102905273</v>
      </c>
      <c r="AC11" s="10">
        <v>3</v>
      </c>
      <c r="AD11" s="10">
        <v>9.0877674520015717E-2</v>
      </c>
      <c r="AE11" s="10">
        <v>7.3762178421020508E-2</v>
      </c>
      <c r="AF11" s="10">
        <v>7.3600552976131439E-2</v>
      </c>
      <c r="AG11" s="10">
        <v>0.12333972752094269</v>
      </c>
      <c r="AH11" s="10">
        <v>0.25821438431739807</v>
      </c>
      <c r="AI11" s="10">
        <v>0.16648022830486298</v>
      </c>
      <c r="AJ11" s="10">
        <v>0.24875503778457642</v>
      </c>
      <c r="AK11" s="10">
        <v>0.12861153483390808</v>
      </c>
      <c r="AL11" s="10">
        <v>9.0994149446487427E-2</v>
      </c>
      <c r="AM11" s="10">
        <v>9.9121339619159698E-2</v>
      </c>
    </row>
    <row r="12" spans="1:39" x14ac:dyDescent="0.3">
      <c r="A12">
        <v>2011</v>
      </c>
      <c r="C12" s="10">
        <v>0.45432883501052856</v>
      </c>
      <c r="D12" s="10">
        <v>9.3011902645230293E-3</v>
      </c>
      <c r="E12" s="11"/>
      <c r="F12" s="10">
        <v>7.2268204689025879</v>
      </c>
      <c r="G12" s="10">
        <v>0.20514298975467682</v>
      </c>
      <c r="H12" s="10">
        <v>2.0999999046325684</v>
      </c>
      <c r="I12" s="10">
        <v>0.18176744878292084</v>
      </c>
      <c r="J12" s="10">
        <v>5</v>
      </c>
      <c r="K12" s="10">
        <v>0.21040843427181244</v>
      </c>
      <c r="L12" s="10">
        <v>10.199999809265137</v>
      </c>
      <c r="M12" s="10">
        <v>0.38299557566642761</v>
      </c>
      <c r="N12" s="10">
        <v>1.0266586542129517</v>
      </c>
      <c r="O12" s="10">
        <v>2.5690790265798569E-2</v>
      </c>
      <c r="P12" s="11"/>
      <c r="Q12" s="10">
        <v>0.25230893492698669</v>
      </c>
      <c r="R12" s="11"/>
      <c r="S12" s="10">
        <v>0.98599731922149658</v>
      </c>
      <c r="T12" s="11"/>
      <c r="U12" s="10">
        <v>280.78118896484375</v>
      </c>
      <c r="V12" s="16"/>
      <c r="W12" s="10">
        <v>0.11188811063766479</v>
      </c>
      <c r="X12" s="10">
        <v>7.6923079788684845E-2</v>
      </c>
      <c r="Y12" s="10">
        <v>0.82779717445373535</v>
      </c>
      <c r="Z12" s="10">
        <v>8.8213644921779633E-2</v>
      </c>
      <c r="AA12" s="10">
        <v>4.5901000499725342E-2</v>
      </c>
      <c r="AB12" s="10">
        <v>5.9921875</v>
      </c>
      <c r="AC12" s="10">
        <v>3</v>
      </c>
      <c r="AD12" s="10">
        <v>0.13145352900028229</v>
      </c>
      <c r="AE12" s="10">
        <v>0.13495422899723053</v>
      </c>
      <c r="AF12" s="10">
        <v>7.2279587388038635E-2</v>
      </c>
      <c r="AG12" s="10">
        <v>0.12530478835105896</v>
      </c>
      <c r="AH12" s="10">
        <v>0.2761995792388916</v>
      </c>
      <c r="AI12" s="10">
        <v>9.0781018137931824E-2</v>
      </c>
      <c r="AJ12" s="10">
        <v>0.15640848875045776</v>
      </c>
      <c r="AK12" s="10">
        <v>0.17857162654399872</v>
      </c>
      <c r="AL12" s="10">
        <v>0.16083189845085144</v>
      </c>
      <c r="AM12" s="10">
        <v>0.16419485211372375</v>
      </c>
    </row>
    <row r="13" spans="1:39" x14ac:dyDescent="0.3">
      <c r="A13">
        <v>2012</v>
      </c>
      <c r="C13" s="10">
        <v>0.46248933672904968</v>
      </c>
      <c r="D13" s="10">
        <v>1.0102546773850918E-2</v>
      </c>
      <c r="E13" s="11"/>
      <c r="F13" s="10">
        <v>8.3455743789672852</v>
      </c>
      <c r="G13" s="10">
        <v>0.21683767437934875</v>
      </c>
      <c r="H13" s="10">
        <v>3</v>
      </c>
      <c r="I13" s="10">
        <v>0.17963486909866333</v>
      </c>
      <c r="J13" s="10">
        <v>6.8000001907348633</v>
      </c>
      <c r="K13" s="10">
        <v>0.3444637656211853</v>
      </c>
      <c r="L13" s="10">
        <v>12</v>
      </c>
      <c r="M13" s="10">
        <v>0.42652308940887451</v>
      </c>
      <c r="N13" s="10">
        <v>0.96172863245010376</v>
      </c>
      <c r="O13" s="10">
        <v>2.4540182203054428E-2</v>
      </c>
      <c r="P13" s="11"/>
      <c r="Q13" s="10">
        <v>0.20636442303657532</v>
      </c>
      <c r="R13" s="11"/>
      <c r="S13" s="10">
        <v>0.97554510831832886</v>
      </c>
      <c r="T13" s="11"/>
      <c r="U13" s="10">
        <v>278.0848388671875</v>
      </c>
      <c r="V13" s="16"/>
      <c r="W13" s="10">
        <v>9.3087553977966309E-2</v>
      </c>
      <c r="X13" s="10">
        <v>5.161290243268013E-2</v>
      </c>
      <c r="Y13" s="10">
        <v>0.86451613903045654</v>
      </c>
      <c r="Z13" s="10">
        <v>5.8573346585035324E-2</v>
      </c>
      <c r="AA13" s="10">
        <v>1.7236232757568359E-2</v>
      </c>
      <c r="AB13" s="10">
        <v>5.4405941963195801</v>
      </c>
      <c r="AC13" s="10">
        <v>3</v>
      </c>
      <c r="AD13" s="10">
        <v>7.3316283524036407E-2</v>
      </c>
      <c r="AE13" s="10">
        <v>6.7985586822032928E-2</v>
      </c>
      <c r="AF13" s="10">
        <v>8.5251495242118835E-2</v>
      </c>
      <c r="AG13" s="10">
        <v>0.12981005012989044</v>
      </c>
      <c r="AH13" s="10">
        <v>0.2480333149433136</v>
      </c>
      <c r="AI13" s="10">
        <v>3.2520439475774765E-2</v>
      </c>
      <c r="AJ13" s="10">
        <v>8.0654844641685486E-2</v>
      </c>
      <c r="AK13" s="10">
        <v>0.18066100776195526</v>
      </c>
      <c r="AL13" s="10">
        <v>0.15987506508827209</v>
      </c>
      <c r="AM13" s="10">
        <v>0.16187590360641479</v>
      </c>
    </row>
    <row r="14" spans="1:39" x14ac:dyDescent="0.3">
      <c r="A14">
        <v>2013</v>
      </c>
      <c r="C14" s="10">
        <v>0.41928252577781677</v>
      </c>
      <c r="D14" s="10">
        <v>1.0339551605284214E-2</v>
      </c>
      <c r="E14" s="11"/>
      <c r="F14" s="10">
        <v>7.9671430587768555</v>
      </c>
      <c r="G14" s="10">
        <v>0.23824718594551086</v>
      </c>
      <c r="H14" s="10">
        <v>2.4000000953674316</v>
      </c>
      <c r="I14" s="10">
        <v>0.16265709698200226</v>
      </c>
      <c r="J14" s="10">
        <v>6</v>
      </c>
      <c r="K14" s="10">
        <v>0.25500050187110901</v>
      </c>
      <c r="L14" s="10">
        <v>11</v>
      </c>
      <c r="M14" s="10">
        <v>0.35315710306167603</v>
      </c>
      <c r="N14" s="10">
        <v>1.0827178955078125</v>
      </c>
      <c r="O14" s="10">
        <v>3.2322004437446594E-2</v>
      </c>
      <c r="P14" s="11"/>
      <c r="Q14" s="10">
        <v>0.27453437447547913</v>
      </c>
      <c r="R14" s="11"/>
      <c r="S14" s="10">
        <v>0.97901058197021484</v>
      </c>
      <c r="T14" s="11"/>
      <c r="U14" s="10">
        <v>287.95401000976563</v>
      </c>
      <c r="V14" s="16"/>
      <c r="W14" s="10">
        <v>8.235294371843338E-2</v>
      </c>
      <c r="X14" s="10">
        <v>5.2406415343284607E-2</v>
      </c>
      <c r="Y14" s="10">
        <v>0.87807488441467285</v>
      </c>
      <c r="Z14" s="10">
        <v>6.5459795296192169E-2</v>
      </c>
      <c r="AA14" s="10">
        <v>1.8713938072323799E-2</v>
      </c>
      <c r="AB14" s="10">
        <v>6.5415582656860352</v>
      </c>
      <c r="AC14" s="10">
        <v>4</v>
      </c>
      <c r="AD14" s="10">
        <v>6.9506727159023285E-2</v>
      </c>
      <c r="AE14" s="10">
        <v>7.3777101933956146E-2</v>
      </c>
      <c r="AF14" s="10">
        <v>0.11569506675004959</v>
      </c>
      <c r="AG14" s="10">
        <v>0.22085045278072357</v>
      </c>
      <c r="AH14" s="10">
        <v>0.26941573619842529</v>
      </c>
      <c r="AI14" s="10">
        <v>0.16167290508747101</v>
      </c>
      <c r="AJ14" s="10">
        <v>0.28007322549819946</v>
      </c>
      <c r="AK14" s="10">
        <v>0.1675277054309845</v>
      </c>
      <c r="AL14" s="10">
        <v>0.14385886490345001</v>
      </c>
      <c r="AM14" s="10">
        <v>0.14799094200134277</v>
      </c>
    </row>
    <row r="21" spans="28:28" x14ac:dyDescent="0.3">
      <c r="AB21">
        <f>AB5/F5</f>
        <v>0.60586082457516854</v>
      </c>
    </row>
  </sheetData>
  <mergeCells count="5">
    <mergeCell ref="AI1:AM1"/>
    <mergeCell ref="F1:O1"/>
    <mergeCell ref="AD1:AH1"/>
    <mergeCell ref="W1:AA1"/>
    <mergeCell ref="AB1:AC1"/>
  </mergeCell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17"/>
  <sheetViews>
    <sheetView workbookViewId="0">
      <selection activeCell="E4" sqref="E4"/>
    </sheetView>
  </sheetViews>
  <sheetFormatPr defaultColWidth="8.77734375" defaultRowHeight="14.4" x14ac:dyDescent="0.3"/>
  <sheetData>
    <row r="1" spans="2:6" x14ac:dyDescent="0.3">
      <c r="C1" s="22" t="s">
        <v>44</v>
      </c>
      <c r="D1" s="22"/>
      <c r="E1" s="22"/>
      <c r="F1" s="22"/>
    </row>
    <row r="2" spans="2:6" x14ac:dyDescent="0.3">
      <c r="C2" s="23" t="s">
        <v>45</v>
      </c>
      <c r="D2" s="23"/>
      <c r="E2" s="22" t="s">
        <v>46</v>
      </c>
      <c r="F2" s="22"/>
    </row>
    <row r="3" spans="2:6" x14ac:dyDescent="0.3">
      <c r="C3" s="4" t="s">
        <v>47</v>
      </c>
      <c r="D3" s="4" t="s">
        <v>48</v>
      </c>
      <c r="E3" s="4" t="s">
        <v>47</v>
      </c>
      <c r="F3" s="4" t="s">
        <v>48</v>
      </c>
    </row>
    <row r="4" spans="2:6" x14ac:dyDescent="0.3">
      <c r="B4">
        <v>2004</v>
      </c>
      <c r="C4" s="13">
        <v>0.28646358847618103</v>
      </c>
      <c r="D4" s="13">
        <v>5.7189840823411942E-2</v>
      </c>
      <c r="E4" s="13">
        <v>0.45974138379096985</v>
      </c>
      <c r="F4" s="13">
        <v>5.8082524687051773E-2</v>
      </c>
    </row>
    <row r="5" spans="2:6" x14ac:dyDescent="0.3">
      <c r="B5">
        <v>2005</v>
      </c>
      <c r="C5" s="10">
        <v>0.4734923243522644</v>
      </c>
      <c r="D5" s="10">
        <v>5.2322302013635635E-2</v>
      </c>
      <c r="E5" s="10">
        <v>0.47088482975959778</v>
      </c>
      <c r="F5" s="10">
        <v>4.9265597015619278E-2</v>
      </c>
    </row>
    <row r="6" spans="2:6" x14ac:dyDescent="0.3">
      <c r="B6">
        <v>2006</v>
      </c>
      <c r="C6" s="10">
        <v>0.35160094499588013</v>
      </c>
      <c r="D6" s="10">
        <v>4.8443719744682312E-2</v>
      </c>
      <c r="E6" s="10">
        <v>0.51158392429351807</v>
      </c>
      <c r="F6" s="10">
        <v>6.3166290521621704E-2</v>
      </c>
    </row>
    <row r="7" spans="2:6" x14ac:dyDescent="0.3">
      <c r="B7">
        <v>2007</v>
      </c>
      <c r="C7" s="10">
        <v>0.37531280517578125</v>
      </c>
      <c r="D7" s="10">
        <v>4.0242183953523636E-2</v>
      </c>
      <c r="E7" s="10">
        <v>0.49741977453231812</v>
      </c>
      <c r="F7" s="10">
        <v>5.8667790144681931E-2</v>
      </c>
    </row>
    <row r="8" spans="2:6" x14ac:dyDescent="0.3">
      <c r="B8">
        <v>2008</v>
      </c>
      <c r="C8" s="10">
        <v>0.42215940356254578</v>
      </c>
      <c r="D8" s="10">
        <v>5.9077974408864975E-2</v>
      </c>
      <c r="E8" s="10">
        <v>0.43288999795913696</v>
      </c>
      <c r="F8" s="10">
        <v>7.1336112916469574E-2</v>
      </c>
    </row>
    <row r="9" spans="2:6" x14ac:dyDescent="0.3">
      <c r="B9">
        <v>2009</v>
      </c>
      <c r="C9" s="10">
        <v>0.31881743669509888</v>
      </c>
      <c r="D9" s="10">
        <v>7.8802458941936493E-2</v>
      </c>
      <c r="E9" s="10">
        <v>0.47776815295219421</v>
      </c>
      <c r="F9" s="10">
        <v>7.387252151966095E-2</v>
      </c>
    </row>
    <row r="10" spans="2:6" x14ac:dyDescent="0.3">
      <c r="B10">
        <v>2010</v>
      </c>
      <c r="C10" s="10">
        <v>0.44152262806892395</v>
      </c>
      <c r="D10" s="10">
        <v>6.4465664327144623E-2</v>
      </c>
      <c r="E10" s="10">
        <v>0.58111768960952759</v>
      </c>
      <c r="F10" s="10">
        <v>5.6602645665407181E-2</v>
      </c>
    </row>
    <row r="11" spans="2:6" x14ac:dyDescent="0.3">
      <c r="B11">
        <v>2011</v>
      </c>
      <c r="C11" s="10">
        <v>0.4391670823097229</v>
      </c>
      <c r="D11" s="10">
        <v>7.1155399084091187E-2</v>
      </c>
      <c r="E11" s="10">
        <v>0.49890118837356567</v>
      </c>
      <c r="F11" s="10">
        <v>7.020733505487442E-2</v>
      </c>
    </row>
    <row r="12" spans="2:6" x14ac:dyDescent="0.3">
      <c r="B12">
        <v>2012</v>
      </c>
      <c r="C12" s="10">
        <v>0.32343238592147827</v>
      </c>
      <c r="D12" s="10">
        <v>0.10086134076118469</v>
      </c>
      <c r="E12" s="10">
        <v>0.62653982639312744</v>
      </c>
      <c r="F12" s="10">
        <v>7.4886724352836609E-2</v>
      </c>
    </row>
    <row r="13" spans="2:6" x14ac:dyDescent="0.3">
      <c r="B13">
        <v>2013</v>
      </c>
      <c r="C13" s="10">
        <v>0.53419327735900879</v>
      </c>
      <c r="D13" s="10">
        <v>6.973005086183548E-2</v>
      </c>
      <c r="E13" s="10">
        <v>0.23612888157367706</v>
      </c>
      <c r="F13" s="10">
        <v>0.11214140057563782</v>
      </c>
    </row>
    <row r="14" spans="2:6" x14ac:dyDescent="0.3">
      <c r="C14" s="3"/>
      <c r="D14" s="3"/>
      <c r="E14" s="3"/>
      <c r="F14" s="3"/>
    </row>
    <row r="15" spans="2:6" x14ac:dyDescent="0.3">
      <c r="C15" s="3"/>
      <c r="D15" s="3"/>
      <c r="E15" s="3"/>
      <c r="F15" s="3"/>
    </row>
    <row r="16" spans="2:6" x14ac:dyDescent="0.3">
      <c r="C16" s="3"/>
      <c r="D16" s="3"/>
      <c r="E16" s="3"/>
      <c r="F16" s="3"/>
    </row>
    <row r="17" spans="3:6" x14ac:dyDescent="0.3">
      <c r="C17" s="3"/>
      <c r="D17" s="3"/>
      <c r="E17" s="3"/>
      <c r="F17" s="3"/>
    </row>
  </sheetData>
  <mergeCells count="3">
    <mergeCell ref="C1:F1"/>
    <mergeCell ref="E2:F2"/>
    <mergeCell ref="C2:D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Employment Share</vt:lpstr>
      <vt:lpstr>Old Share by Employment</vt:lpstr>
      <vt:lpstr>Employment Old</vt:lpstr>
      <vt:lpstr>Employment Young</vt:lpstr>
      <vt:lpstr>Income Moments</vt:lpstr>
      <vt:lpstr>Income Moments YO</vt:lpstr>
      <vt:lpstr>Agr Moments Raw</vt:lpstr>
      <vt:lpstr>Agr Moments Permanent</vt:lpstr>
      <vt:lpstr>Agr Moments Other</vt:lpstr>
      <vt:lpstr>Part-time 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Chaoran Chen</cp:lastModifiedBy>
  <dcterms:modified xsi:type="dcterms:W3CDTF">2024-03-04T20:33:28Z</dcterms:modified>
</cp:coreProperties>
</file>